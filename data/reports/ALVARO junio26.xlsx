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0_-;\-* #,##0.000_-;_-* &quot;-&quot;??_-;_-@_-"/>
    <numFmt numFmtId="165" formatCode="_-* #,##0.00_-;\-* #,##0.00_-;_-* &quot;-&quot;??_-;_-@_-"/>
    <numFmt numFmtId="166" formatCode="0.000"/>
    <numFmt numFmtId="167" formatCode="dd/mm/yyyy"/>
    <numFmt numFmtId="168" formatCode="hh:mm:ss"/>
  </numFmts>
  <fonts count="9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sz val="8"/>
    </font>
    <font>
      <name val="Calibri"/>
      <family val="2"/>
      <sz val="10"/>
    </font>
    <font>
      <name val="Tahoma"/>
      <family val="2"/>
      <sz val="8"/>
    </font>
    <font>
      <name val="Tahoma"/>
      <charset val="1"/>
      <sz val="8"/>
    </font>
    <font>
      <name val="Calibri"/>
      <family val="2"/>
      <color theme="0"/>
      <sz val="10"/>
    </font>
  </fonts>
  <fills count="5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/>
    <xf numFmtId="0" fontId="1" fillId="0" borderId="0"/>
  </cellStyleXfs>
  <cellXfs count="10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2" fontId="3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21" fontId="5" fillId="0" borderId="2" applyAlignment="1" pivotButton="0" quotePrefix="0" xfId="0">
      <alignment horizontal="center"/>
    </xf>
    <xf numFmtId="21" fontId="5" fillId="0" borderId="0" pivotButton="0" quotePrefix="0" xfId="0"/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5" fillId="0" borderId="2" pivotButton="0" quotePrefix="0" xfId="2"/>
    <xf numFmtId="14" fontId="5" fillId="0" borderId="2" applyAlignment="1" pivotButton="0" quotePrefix="0" xfId="2">
      <alignment horizontal="center"/>
    </xf>
    <xf numFmtId="21" fontId="5" fillId="0" borderId="2" pivotButton="0" quotePrefix="0" xfId="2"/>
    <xf numFmtId="20" fontId="5" fillId="0" borderId="2" applyAlignment="1" pivotButton="0" quotePrefix="0" xfId="0">
      <alignment horizontal="center"/>
    </xf>
    <xf numFmtId="20" fontId="5" fillId="3" borderId="2" applyAlignment="1" pivotButton="0" quotePrefix="0" xfId="0">
      <alignment horizontal="center" vertical="center"/>
    </xf>
    <xf numFmtId="21" fontId="5" fillId="0" borderId="1" applyAlignment="1" pivotButton="0" quotePrefix="0" xfId="0">
      <alignment horizontal="left"/>
    </xf>
    <xf numFmtId="21" fontId="5" fillId="0" borderId="2" applyAlignment="1" pivotButton="0" quotePrefix="0" xfId="0">
      <alignment horizontal="left"/>
    </xf>
    <xf numFmtId="20" fontId="5" fillId="0" borderId="12" applyAlignment="1" pivotButton="0" quotePrefix="0" xfId="0">
      <alignment horizontal="left"/>
    </xf>
    <xf numFmtId="21" fontId="5" fillId="0" borderId="1" applyAlignment="1" pivotButton="0" quotePrefix="0" xfId="0">
      <alignment horizontal="center"/>
    </xf>
    <xf numFmtId="21" fontId="5" fillId="0" borderId="2" pivotButton="0" quotePrefix="0" xfId="0"/>
    <xf numFmtId="0" fontId="5" fillId="0" borderId="2" pivotButton="0" quotePrefix="0" xfId="0"/>
    <xf numFmtId="0" fontId="5" fillId="2" borderId="2" pivotButton="0" quotePrefix="0" xfId="2"/>
    <xf numFmtId="14" fontId="5" fillId="2" borderId="2" applyAlignment="1" pivotButton="0" quotePrefix="0" xfId="2">
      <alignment horizontal="center"/>
    </xf>
    <xf numFmtId="21" fontId="5" fillId="2" borderId="2" pivotButton="0" quotePrefix="0" xfId="2"/>
    <xf numFmtId="20" fontId="5" fillId="2" borderId="2" applyAlignment="1" pivotButton="0" quotePrefix="0" xfId="0">
      <alignment horizontal="center"/>
    </xf>
    <xf numFmtId="20" fontId="5" fillId="2" borderId="2" applyAlignment="1" pivotButton="0" quotePrefix="0" xfId="0">
      <alignment horizontal="center" vertical="center"/>
    </xf>
    <xf numFmtId="21" fontId="5" fillId="2" borderId="1" applyAlignment="1" pivotButton="0" quotePrefix="0" xfId="0">
      <alignment horizontal="left"/>
    </xf>
    <xf numFmtId="21" fontId="5" fillId="2" borderId="2" applyAlignment="1" pivotButton="0" quotePrefix="0" xfId="0">
      <alignment horizontal="center"/>
    </xf>
    <xf numFmtId="21" fontId="5" fillId="2" borderId="2" applyAlignment="1" pivotButton="0" quotePrefix="0" xfId="0">
      <alignment horizontal="left"/>
    </xf>
    <xf numFmtId="20" fontId="5" fillId="2" borderId="12" applyAlignment="1" pivotButton="0" quotePrefix="0" xfId="0">
      <alignment horizontal="left"/>
    </xf>
    <xf numFmtId="21" fontId="5" fillId="2" borderId="1" applyAlignment="1" pivotButton="0" quotePrefix="0" xfId="0">
      <alignment horizontal="center"/>
    </xf>
    <xf numFmtId="21" fontId="5" fillId="2" borderId="2" pivotButton="0" quotePrefix="0" xfId="0"/>
    <xf numFmtId="0" fontId="5" fillId="3" borderId="0" pivotButton="0" quotePrefix="0" xfId="2"/>
    <xf numFmtId="14" fontId="5" fillId="3" borderId="0" applyAlignment="1" pivotButton="0" quotePrefix="0" xfId="2">
      <alignment horizontal="center"/>
    </xf>
    <xf numFmtId="21" fontId="5" fillId="3" borderId="0" pivotButton="0" quotePrefix="0" xfId="2"/>
    <xf numFmtId="20" fontId="5" fillId="3" borderId="0" applyAlignment="1" pivotButton="0" quotePrefix="0" xfId="0">
      <alignment horizontal="center"/>
    </xf>
    <xf numFmtId="20" fontId="5" fillId="3" borderId="0" applyAlignment="1" pivotButton="0" quotePrefix="0" xfId="0">
      <alignment horizontal="center" vertical="center"/>
    </xf>
    <xf numFmtId="21" fontId="5" fillId="3" borderId="0" applyAlignment="1" pivotButton="0" quotePrefix="0" xfId="0">
      <alignment horizontal="left"/>
    </xf>
    <xf numFmtId="21" fontId="5" fillId="3" borderId="0" applyAlignment="1" pivotButton="0" quotePrefix="0" xfId="0">
      <alignment horizontal="center"/>
    </xf>
    <xf numFmtId="20" fontId="5" fillId="3" borderId="0" applyAlignment="1" pivotButton="0" quotePrefix="0" xfId="0">
      <alignment horizontal="left"/>
    </xf>
    <xf numFmtId="46" fontId="5" fillId="0" borderId="0" pivotButton="0" quotePrefix="0" xfId="0"/>
    <xf numFmtId="21" fontId="5" fillId="3" borderId="0" pivotButton="0" quotePrefix="0" xfId="0"/>
    <xf numFmtId="0" fontId="5" fillId="3" borderId="0" pivotButton="0" quotePrefix="0" xfId="0"/>
    <xf numFmtId="49" fontId="5" fillId="0" borderId="0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2" fontId="5" fillId="0" borderId="2" pivotButton="0" quotePrefix="0" xfId="0"/>
    <xf numFmtId="164" fontId="5" fillId="0" borderId="2" pivotButton="0" quotePrefix="0" xfId="1"/>
    <xf numFmtId="165" fontId="5" fillId="0" borderId="2" pivotButton="0" quotePrefix="0" xfId="1"/>
    <xf numFmtId="165" fontId="5" fillId="0" borderId="3" pivotButton="0" quotePrefix="0" xfId="0"/>
    <xf numFmtId="2" fontId="5" fillId="0" borderId="11" pivotButton="0" quotePrefix="0" xfId="1"/>
    <xf numFmtId="2" fontId="5" fillId="0" borderId="12" pivotButton="0" quotePrefix="0" xfId="0"/>
    <xf numFmtId="0" fontId="5" fillId="0" borderId="17" pivotButton="0" quotePrefix="0" xfId="0"/>
    <xf numFmtId="0" fontId="5" fillId="0" borderId="3" pivotButton="0" quotePrefix="0" xfId="0"/>
    <xf numFmtId="2" fontId="5" fillId="0" borderId="13" pivotButton="0" quotePrefix="0" xfId="0"/>
    <xf numFmtId="2" fontId="5" fillId="0" borderId="18" pivotButton="0" quotePrefix="0" xfId="0"/>
    <xf numFmtId="165" fontId="5" fillId="0" borderId="0" pivotButton="0" quotePrefix="0" xfId="0"/>
    <xf numFmtId="166" fontId="5" fillId="0" borderId="0" applyAlignment="1" pivotButton="0" quotePrefix="0" xfId="0">
      <alignment horizontal="center"/>
    </xf>
    <xf numFmtId="49" fontId="6" fillId="4" borderId="0" applyAlignment="1" pivotButton="0" quotePrefix="0" xfId="0">
      <alignment horizontal="left" vertical="center"/>
    </xf>
    <xf numFmtId="49" fontId="7" fillId="4" borderId="20" applyAlignment="1" pivotButton="0" quotePrefix="0" xfId="0">
      <alignment horizontal="left" vertical="center"/>
    </xf>
    <xf numFmtId="49" fontId="7" fillId="4" borderId="21" applyAlignment="1" pivotButton="0" quotePrefix="0" xfId="0">
      <alignment horizontal="left" vertical="center"/>
    </xf>
    <xf numFmtId="49" fontId="7" fillId="4" borderId="2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21" fontId="8" fillId="0" borderId="0" applyAlignment="1" pivotButton="0" quotePrefix="0" xfId="0">
      <alignment horizontal="center" vertical="center"/>
    </xf>
    <xf numFmtId="21" fontId="8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1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2">
      <alignment horizontal="center" vertical="center" wrapText="1"/>
    </xf>
    <xf numFmtId="0" fontId="5" fillId="0" borderId="3" applyAlignment="1" pivotButton="0" quotePrefix="0" xfId="2">
      <alignment horizontal="center" wrapText="1"/>
    </xf>
    <xf numFmtId="0" fontId="5" fillId="0" borderId="3" applyAlignment="1" pivotButton="0" quotePrefix="0" xfId="2">
      <alignment horizontal="center" vertic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7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5" pivotButton="0" quotePrefix="0" xfId="0"/>
    <xf numFmtId="0" fontId="0" fillId="0" borderId="26" pivotButton="0" quotePrefix="0" xfId="0"/>
    <xf numFmtId="167" fontId="5" fillId="0" borderId="2" applyAlignment="1" pivotButton="0" quotePrefix="0" xfId="2">
      <alignment horizontal="center"/>
    </xf>
    <xf numFmtId="168" fontId="5" fillId="0" borderId="2" applyAlignment="1" pivotButton="0" quotePrefix="0" xfId="0">
      <alignment horizontal="center"/>
    </xf>
    <xf numFmtId="168" fontId="5" fillId="3" borderId="2" applyAlignment="1" pivotButton="0" quotePrefix="0" xfId="0">
      <alignment horizontal="center" vertical="center"/>
    </xf>
    <xf numFmtId="167" fontId="5" fillId="2" borderId="2" applyAlignment="1" pivotButton="0" quotePrefix="0" xfId="2">
      <alignment horizontal="center"/>
    </xf>
    <xf numFmtId="168" fontId="5" fillId="2" borderId="2" applyAlignment="1" pivotButton="0" quotePrefix="0" xfId="0">
      <alignment horizontal="center"/>
    </xf>
    <xf numFmtId="168" fontId="5" fillId="2" borderId="2" applyAlignment="1" pivotButton="0" quotePrefix="0" xfId="0">
      <alignment horizontal="center" vertical="center"/>
    </xf>
    <xf numFmtId="165" fontId="5" fillId="0" borderId="2" pivotButton="0" quotePrefix="0" xfId="1"/>
    <xf numFmtId="165" fontId="5" fillId="0" borderId="3" pivotButton="0" quotePrefix="0" xfId="0"/>
    <xf numFmtId="0" fontId="0" fillId="0" borderId="19" pivotButton="0" quotePrefix="0" xfId="0"/>
    <xf numFmtId="165" fontId="5" fillId="0" borderId="0" pivotButton="0" quotePrefix="0" xfId="0"/>
    <xf numFmtId="166" fontId="5" fillId="0" borderId="0" applyAlignment="1" pivotButton="0" quotePrefix="0" xfId="0">
      <alignment horizontal="center"/>
    </xf>
  </cellXfs>
  <cellStyles count="3">
    <cellStyle name="Normal" xfId="0" builtinId="0"/>
    <cellStyle name="Millares" xfId="1" builtinId="3"/>
    <cellStyle name="Normal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0"/>
  <sheetViews>
    <sheetView topLeftCell="A2" workbookViewId="0">
      <selection activeCell="C20" sqref="C20"/>
    </sheetView>
  </sheetViews>
  <sheetFormatPr baseColWidth="10" defaultRowHeight="11.25"/>
  <cols>
    <col width="11.42578125" customWidth="1" style="2" min="1" max="1"/>
    <col width="9.85546875" customWidth="1" style="2" min="2" max="2"/>
    <col width="16.85546875" customWidth="1" style="2" min="3" max="3"/>
    <col width="19.7109375" customWidth="1" style="2" min="4" max="4"/>
    <col width="11.42578125" customWidth="1" style="2" min="5" max="230"/>
    <col width="20" customWidth="1" style="2" min="231" max="231"/>
    <col width="11.42578125" customWidth="1" style="2" min="232" max="486"/>
    <col width="20" customWidth="1" style="2" min="487" max="487"/>
    <col width="11.42578125" customWidth="1" style="2" min="488" max="742"/>
    <col width="20" customWidth="1" style="2" min="743" max="743"/>
    <col width="11.42578125" customWidth="1" style="2" min="744" max="998"/>
    <col width="20" customWidth="1" style="2" min="999" max="999"/>
    <col width="11.42578125" customWidth="1" style="2" min="1000" max="1254"/>
    <col width="20" customWidth="1" style="2" min="1255" max="1255"/>
    <col width="11.42578125" customWidth="1" style="2" min="1256" max="1510"/>
    <col width="20" customWidth="1" style="2" min="1511" max="1511"/>
    <col width="11.42578125" customWidth="1" style="2" min="1512" max="1766"/>
    <col width="20" customWidth="1" style="2" min="1767" max="1767"/>
    <col width="11.42578125" customWidth="1" style="2" min="1768" max="2022"/>
    <col width="20" customWidth="1" style="2" min="2023" max="2023"/>
    <col width="11.42578125" customWidth="1" style="2" min="2024" max="2278"/>
    <col width="20" customWidth="1" style="2" min="2279" max="2279"/>
    <col width="11.42578125" customWidth="1" style="2" min="2280" max="2534"/>
    <col width="20" customWidth="1" style="2" min="2535" max="2535"/>
    <col width="11.42578125" customWidth="1" style="2" min="2536" max="2790"/>
    <col width="20" customWidth="1" style="2" min="2791" max="2791"/>
    <col width="11.42578125" customWidth="1" style="2" min="2792" max="3046"/>
    <col width="20" customWidth="1" style="2" min="3047" max="3047"/>
    <col width="11.42578125" customWidth="1" style="2" min="3048" max="3302"/>
    <col width="20" customWidth="1" style="2" min="3303" max="3303"/>
    <col width="11.42578125" customWidth="1" style="2" min="3304" max="3558"/>
    <col width="20" customWidth="1" style="2" min="3559" max="3559"/>
    <col width="11.42578125" customWidth="1" style="2" min="3560" max="3814"/>
    <col width="20" customWidth="1" style="2" min="3815" max="3815"/>
    <col width="11.42578125" customWidth="1" style="2" min="3816" max="4070"/>
    <col width="20" customWidth="1" style="2" min="4071" max="4071"/>
    <col width="11.42578125" customWidth="1" style="2" min="4072" max="4326"/>
    <col width="20" customWidth="1" style="2" min="4327" max="4327"/>
    <col width="11.42578125" customWidth="1" style="2" min="4328" max="4582"/>
    <col width="20" customWidth="1" style="2" min="4583" max="4583"/>
    <col width="11.42578125" customWidth="1" style="2" min="4584" max="4838"/>
    <col width="20" customWidth="1" style="2" min="4839" max="4839"/>
    <col width="11.42578125" customWidth="1" style="2" min="4840" max="5094"/>
    <col width="20" customWidth="1" style="2" min="5095" max="5095"/>
    <col width="11.42578125" customWidth="1" style="2" min="5096" max="5350"/>
    <col width="20" customWidth="1" style="2" min="5351" max="5351"/>
    <col width="11.42578125" customWidth="1" style="2" min="5352" max="5606"/>
    <col width="20" customWidth="1" style="2" min="5607" max="5607"/>
    <col width="11.42578125" customWidth="1" style="2" min="5608" max="5862"/>
    <col width="20" customWidth="1" style="2" min="5863" max="5863"/>
    <col width="11.42578125" customWidth="1" style="2" min="5864" max="6118"/>
    <col width="20" customWidth="1" style="2" min="6119" max="6119"/>
    <col width="11.42578125" customWidth="1" style="2" min="6120" max="6374"/>
    <col width="20" customWidth="1" style="2" min="6375" max="6375"/>
    <col width="11.42578125" customWidth="1" style="2" min="6376" max="6630"/>
    <col width="20" customWidth="1" style="2" min="6631" max="6631"/>
    <col width="11.42578125" customWidth="1" style="2" min="6632" max="6886"/>
    <col width="20" customWidth="1" style="2" min="6887" max="6887"/>
    <col width="11.42578125" customWidth="1" style="2" min="6888" max="7142"/>
    <col width="20" customWidth="1" style="2" min="7143" max="7143"/>
    <col width="11.42578125" customWidth="1" style="2" min="7144" max="7398"/>
    <col width="20" customWidth="1" style="2" min="7399" max="7399"/>
    <col width="11.42578125" customWidth="1" style="2" min="7400" max="7654"/>
    <col width="20" customWidth="1" style="2" min="7655" max="7655"/>
    <col width="11.42578125" customWidth="1" style="2" min="7656" max="7910"/>
    <col width="20" customWidth="1" style="2" min="7911" max="7911"/>
    <col width="11.42578125" customWidth="1" style="2" min="7912" max="8166"/>
    <col width="20" customWidth="1" style="2" min="8167" max="8167"/>
    <col width="11.42578125" customWidth="1" style="2" min="8168" max="8422"/>
    <col width="20" customWidth="1" style="2" min="8423" max="8423"/>
    <col width="11.42578125" customWidth="1" style="2" min="8424" max="8678"/>
    <col width="20" customWidth="1" style="2" min="8679" max="8679"/>
    <col width="11.42578125" customWidth="1" style="2" min="8680" max="8934"/>
    <col width="20" customWidth="1" style="2" min="8935" max="8935"/>
    <col width="11.42578125" customWidth="1" style="2" min="8936" max="9190"/>
    <col width="20" customWidth="1" style="2" min="9191" max="9191"/>
    <col width="11.42578125" customWidth="1" style="2" min="9192" max="9446"/>
    <col width="20" customWidth="1" style="2" min="9447" max="9447"/>
    <col width="11.42578125" customWidth="1" style="2" min="9448" max="9702"/>
    <col width="20" customWidth="1" style="2" min="9703" max="9703"/>
    <col width="11.42578125" customWidth="1" style="2" min="9704" max="9958"/>
    <col width="20" customWidth="1" style="2" min="9959" max="9959"/>
    <col width="11.42578125" customWidth="1" style="2" min="9960" max="10214"/>
    <col width="20" customWidth="1" style="2" min="10215" max="10215"/>
    <col width="11.42578125" customWidth="1" style="2" min="10216" max="10470"/>
    <col width="20" customWidth="1" style="2" min="10471" max="10471"/>
    <col width="11.42578125" customWidth="1" style="2" min="10472" max="10726"/>
    <col width="20" customWidth="1" style="2" min="10727" max="10727"/>
    <col width="11.42578125" customWidth="1" style="2" min="10728" max="10982"/>
    <col width="20" customWidth="1" style="2" min="10983" max="10983"/>
    <col width="11.42578125" customWidth="1" style="2" min="10984" max="11238"/>
    <col width="20" customWidth="1" style="2" min="11239" max="11239"/>
    <col width="11.42578125" customWidth="1" style="2" min="11240" max="11494"/>
    <col width="20" customWidth="1" style="2" min="11495" max="11495"/>
    <col width="11.42578125" customWidth="1" style="2" min="11496" max="11750"/>
    <col width="20" customWidth="1" style="2" min="11751" max="11751"/>
    <col width="11.42578125" customWidth="1" style="2" min="11752" max="12006"/>
    <col width="20" customWidth="1" style="2" min="12007" max="12007"/>
    <col width="11.42578125" customWidth="1" style="2" min="12008" max="12262"/>
    <col width="20" customWidth="1" style="2" min="12263" max="12263"/>
    <col width="11.42578125" customWidth="1" style="2" min="12264" max="12518"/>
    <col width="20" customWidth="1" style="2" min="12519" max="12519"/>
    <col width="11.42578125" customWidth="1" style="2" min="12520" max="12774"/>
    <col width="20" customWidth="1" style="2" min="12775" max="12775"/>
    <col width="11.42578125" customWidth="1" style="2" min="12776" max="13030"/>
    <col width="20" customWidth="1" style="2" min="13031" max="13031"/>
    <col width="11.42578125" customWidth="1" style="2" min="13032" max="13286"/>
    <col width="20" customWidth="1" style="2" min="13287" max="13287"/>
    <col width="11.42578125" customWidth="1" style="2" min="13288" max="13542"/>
    <col width="20" customWidth="1" style="2" min="13543" max="13543"/>
    <col width="11.42578125" customWidth="1" style="2" min="13544" max="13798"/>
    <col width="20" customWidth="1" style="2" min="13799" max="13799"/>
    <col width="11.42578125" customWidth="1" style="2" min="13800" max="14054"/>
    <col width="20" customWidth="1" style="2" min="14055" max="14055"/>
    <col width="11.42578125" customWidth="1" style="2" min="14056" max="14310"/>
    <col width="20" customWidth="1" style="2" min="14311" max="14311"/>
    <col width="11.42578125" customWidth="1" style="2" min="14312" max="14566"/>
    <col width="20" customWidth="1" style="2" min="14567" max="14567"/>
    <col width="11.42578125" customWidth="1" style="2" min="14568" max="14822"/>
    <col width="20" customWidth="1" style="2" min="14823" max="14823"/>
    <col width="11.42578125" customWidth="1" style="2" min="14824" max="15078"/>
    <col width="20" customWidth="1" style="2" min="15079" max="15079"/>
    <col width="11.42578125" customWidth="1" style="2" min="15080" max="15334"/>
    <col width="20" customWidth="1" style="2" min="15335" max="15335"/>
    <col width="11.42578125" customWidth="1" style="2" min="15336" max="15590"/>
    <col width="20" customWidth="1" style="2" min="15591" max="15591"/>
    <col width="11.42578125" customWidth="1" style="2" min="15592" max="15846"/>
    <col width="20" customWidth="1" style="2" min="15847" max="15847"/>
    <col width="11.42578125" customWidth="1" style="2" min="15848" max="16102"/>
    <col width="20" customWidth="1" style="2" min="16103" max="16103"/>
    <col width="11.42578125" customWidth="1" style="2" min="16104" max="16384"/>
  </cols>
  <sheetData>
    <row r="1">
      <c r="A1" s="1" t="inlineStr">
        <is>
          <t>AC-No.</t>
        </is>
      </c>
      <c r="B1" s="1" t="inlineStr">
        <is>
          <t>IMSS/CURP</t>
        </is>
      </c>
      <c r="C1" s="1" t="inlineStr">
        <is>
          <t>Nombre</t>
        </is>
      </c>
      <c r="D1" s="1" t="inlineStr">
        <is>
          <t>Fecha y hora</t>
        </is>
      </c>
    </row>
    <row r="2" ht="23.25" customHeight="1">
      <c r="A2" s="69" t="inlineStr">
        <is>
          <t>3</t>
        </is>
      </c>
      <c r="B2" s="69" t="inlineStr">
        <is>
          <t>ALVARO A</t>
        </is>
      </c>
      <c r="C2" s="69" t="inlineStr">
        <is>
          <t>01/06/2026 02:40:30</t>
        </is>
      </c>
      <c r="D2" s="1" t="n"/>
    </row>
    <row r="3" ht="18" customHeight="1">
      <c r="A3" s="69" t="inlineStr">
        <is>
          <t>3</t>
        </is>
      </c>
      <c r="B3" s="69" t="inlineStr">
        <is>
          <t>ALVARO A</t>
        </is>
      </c>
      <c r="C3" s="69" t="inlineStr">
        <is>
          <t>01/06/2026 12:03:22</t>
        </is>
      </c>
    </row>
    <row r="4" ht="18" customHeight="1">
      <c r="A4" s="69" t="inlineStr">
        <is>
          <t>3</t>
        </is>
      </c>
      <c r="B4" s="69" t="inlineStr">
        <is>
          <t>ALVARO A</t>
        </is>
      </c>
      <c r="C4" s="69" t="inlineStr">
        <is>
          <t>02/06/2026 02:41:54</t>
        </is>
      </c>
    </row>
    <row r="5" ht="18" customHeight="1">
      <c r="A5" s="69" t="inlineStr">
        <is>
          <t>3</t>
        </is>
      </c>
      <c r="B5" s="69" t="inlineStr">
        <is>
          <t>ALVARO A</t>
        </is>
      </c>
      <c r="C5" s="69" t="inlineStr">
        <is>
          <t>02/06/2026 12:07:56</t>
        </is>
      </c>
    </row>
    <row r="6" ht="18" customHeight="1">
      <c r="A6" s="69" t="inlineStr">
        <is>
          <t>3</t>
        </is>
      </c>
      <c r="B6" s="69" t="inlineStr">
        <is>
          <t>ALVARO A</t>
        </is>
      </c>
      <c r="C6" s="69" t="inlineStr">
        <is>
          <t>03/06/2026 02:42:38</t>
        </is>
      </c>
    </row>
    <row r="7" ht="18" customHeight="1">
      <c r="A7" s="69" t="inlineStr">
        <is>
          <t>3</t>
        </is>
      </c>
      <c r="B7" s="69" t="inlineStr">
        <is>
          <t>ALVARO A</t>
        </is>
      </c>
      <c r="C7" s="69" t="inlineStr">
        <is>
          <t>03/06/2026 12:24:12</t>
        </is>
      </c>
    </row>
    <row r="8" ht="18" customHeight="1">
      <c r="A8" s="69" t="inlineStr">
        <is>
          <t>3</t>
        </is>
      </c>
      <c r="B8" s="69" t="inlineStr">
        <is>
          <t>ALVARO A</t>
        </is>
      </c>
      <c r="C8" s="69" t="inlineStr">
        <is>
          <t>04/06/2026 02:43:20</t>
        </is>
      </c>
    </row>
    <row r="9" ht="18" customHeight="1">
      <c r="A9" s="69" t="inlineStr">
        <is>
          <t>3</t>
        </is>
      </c>
      <c r="B9" s="69" t="inlineStr">
        <is>
          <t>ALVARO A</t>
        </is>
      </c>
      <c r="C9" s="69" t="inlineStr">
        <is>
          <t>04/06/2026 11:53:35</t>
        </is>
      </c>
    </row>
    <row r="10" ht="18" customHeight="1">
      <c r="A10" s="69" t="inlineStr">
        <is>
          <t>3</t>
        </is>
      </c>
      <c r="B10" s="69" t="inlineStr">
        <is>
          <t>ALVARO A</t>
        </is>
      </c>
      <c r="C10" s="69" t="inlineStr">
        <is>
          <t>05/06/2026 02:45:31</t>
        </is>
      </c>
    </row>
    <row r="11" ht="18" customHeight="1">
      <c r="A11" s="69" t="inlineStr">
        <is>
          <t>3</t>
        </is>
      </c>
      <c r="B11" s="69" t="inlineStr">
        <is>
          <t>ALVARO A</t>
        </is>
      </c>
      <c r="C11" s="69" t="inlineStr">
        <is>
          <t>05/06/2026 12:27:41</t>
        </is>
      </c>
    </row>
    <row r="12" ht="18" customHeight="1">
      <c r="A12" s="69" t="inlineStr">
        <is>
          <t>3</t>
        </is>
      </c>
      <c r="B12" s="69" t="inlineStr">
        <is>
          <t>ALVARO A</t>
        </is>
      </c>
      <c r="C12" s="69" t="inlineStr">
        <is>
          <t>06/06/2026 02:42:21</t>
        </is>
      </c>
    </row>
    <row r="13" ht="18" customHeight="1">
      <c r="A13" s="69" t="inlineStr">
        <is>
          <t>3</t>
        </is>
      </c>
      <c r="B13" s="69" t="inlineStr">
        <is>
          <t>ALVARO A</t>
        </is>
      </c>
      <c r="C13" s="69" t="inlineStr">
        <is>
          <t>06/06/2026 12:33:38</t>
        </is>
      </c>
    </row>
    <row r="14" ht="18" customHeight="1">
      <c r="A14" s="69" t="inlineStr">
        <is>
          <t>3</t>
        </is>
      </c>
      <c r="B14" s="69" t="inlineStr">
        <is>
          <t>ALVARO A</t>
        </is>
      </c>
      <c r="C14" s="69" t="inlineStr">
        <is>
          <t>08/06/2026 02:41:56</t>
        </is>
      </c>
    </row>
    <row r="15" ht="18" customHeight="1">
      <c r="A15" s="69" t="inlineStr">
        <is>
          <t>3</t>
        </is>
      </c>
      <c r="B15" s="69" t="inlineStr">
        <is>
          <t>ALVARO A</t>
        </is>
      </c>
      <c r="C15" s="69" t="inlineStr">
        <is>
          <t>08/06/2026 12:11:22</t>
        </is>
      </c>
    </row>
    <row r="16" ht="18" customHeight="1">
      <c r="A16" s="69" t="inlineStr">
        <is>
          <t>3</t>
        </is>
      </c>
      <c r="B16" s="69" t="inlineStr">
        <is>
          <t>ALVARO A</t>
        </is>
      </c>
      <c r="C16" s="69" t="inlineStr">
        <is>
          <t>09/06/2026 02:42:06</t>
        </is>
      </c>
    </row>
    <row r="17" ht="18" customHeight="1">
      <c r="A17" s="69" t="inlineStr">
        <is>
          <t>3</t>
        </is>
      </c>
      <c r="B17" s="69" t="inlineStr">
        <is>
          <t>ALVARO A</t>
        </is>
      </c>
      <c r="C17" s="69" t="inlineStr">
        <is>
          <t>09/06/2026 12:23:05</t>
        </is>
      </c>
    </row>
    <row r="18" ht="18" customHeight="1">
      <c r="A18" s="69" t="inlineStr">
        <is>
          <t>3</t>
        </is>
      </c>
      <c r="B18" s="69" t="inlineStr">
        <is>
          <t>ALVARO A</t>
        </is>
      </c>
      <c r="C18" s="69" t="inlineStr">
        <is>
          <t>10/06/2026 02:45:42</t>
        </is>
      </c>
    </row>
    <row r="19" ht="18" customHeight="1">
      <c r="A19" s="69" t="inlineStr">
        <is>
          <t>3</t>
        </is>
      </c>
      <c r="B19" s="69" t="inlineStr">
        <is>
          <t>ALVARO A</t>
        </is>
      </c>
      <c r="C19" s="69" t="inlineStr">
        <is>
          <t>10/06/2026 07:13:47</t>
        </is>
      </c>
    </row>
    <row r="20" ht="18" customHeight="1">
      <c r="A20" s="69" t="inlineStr">
        <is>
          <t>3</t>
        </is>
      </c>
      <c r="B20" s="69" t="inlineStr">
        <is>
          <t>ALVARO A</t>
        </is>
      </c>
      <c r="C20" s="69" t="inlineStr">
        <is>
          <t>11/06/2026 02:39:46</t>
        </is>
      </c>
    </row>
    <row r="21" ht="18" customHeight="1">
      <c r="A21" s="69" t="inlineStr">
        <is>
          <t>3</t>
        </is>
      </c>
      <c r="B21" s="69" t="inlineStr">
        <is>
          <t>ALVARO A</t>
        </is>
      </c>
      <c r="C21" s="69" t="inlineStr">
        <is>
          <t>11/06/2026 12:16:44</t>
        </is>
      </c>
    </row>
    <row r="22" ht="18" customHeight="1">
      <c r="A22" s="69" t="inlineStr">
        <is>
          <t>3</t>
        </is>
      </c>
      <c r="B22" s="69" t="inlineStr">
        <is>
          <t>ALVARO A</t>
        </is>
      </c>
      <c r="C22" s="69" t="inlineStr">
        <is>
          <t>12/06/2026 02:40:04</t>
        </is>
      </c>
    </row>
    <row r="23" ht="18" customHeight="1">
      <c r="A23" s="69" t="n"/>
      <c r="B23" s="69" t="n"/>
      <c r="C23" s="69" t="n"/>
    </row>
    <row r="24" ht="18" customHeight="1">
      <c r="A24" s="69" t="n"/>
      <c r="B24" s="69" t="n"/>
      <c r="C24" s="69" t="n"/>
    </row>
    <row r="25" ht="18" customHeight="1">
      <c r="A25" s="69" t="n"/>
      <c r="B25" s="69" t="n"/>
      <c r="C25" s="69" t="n"/>
    </row>
    <row r="26" ht="18" customHeight="1">
      <c r="A26" s="69" t="n"/>
      <c r="B26" s="69" t="n"/>
      <c r="C26" s="69" t="n"/>
    </row>
    <row r="27" ht="18" customHeight="1">
      <c r="A27" s="69" t="n"/>
      <c r="B27" s="69" t="n"/>
      <c r="C27" s="69" t="n"/>
    </row>
    <row r="28" ht="18" customHeight="1">
      <c r="A28" s="69" t="n"/>
      <c r="B28" s="69" t="n"/>
      <c r="C28" s="69" t="n"/>
    </row>
    <row r="29" ht="18" customHeight="1">
      <c r="A29" s="69" t="n"/>
      <c r="B29" s="69" t="n"/>
      <c r="C29" s="69" t="n"/>
    </row>
    <row r="30" ht="18" customHeight="1">
      <c r="A30" s="69" t="n"/>
      <c r="B30" s="69" t="n"/>
      <c r="C30" s="69" t="n"/>
    </row>
    <row r="31" ht="18" customHeight="1">
      <c r="A31" s="69" t="n"/>
      <c r="B31" s="69" t="n"/>
      <c r="C31" s="69" t="n"/>
    </row>
    <row r="32" ht="18" customHeight="1">
      <c r="A32" s="69" t="n"/>
      <c r="B32" s="69" t="n"/>
      <c r="C32" s="69" t="n"/>
    </row>
    <row r="33" ht="18" customHeight="1">
      <c r="A33" s="69" t="n"/>
      <c r="B33" s="69" t="n"/>
      <c r="C33" s="69" t="n"/>
    </row>
    <row r="34" ht="18" customHeight="1">
      <c r="A34" s="69" t="n"/>
      <c r="B34" s="69" t="n"/>
      <c r="C34" s="69" t="n"/>
    </row>
    <row r="35" ht="18" customHeight="1">
      <c r="A35" s="69" t="n"/>
      <c r="B35" s="69" t="n"/>
      <c r="C35" s="69" t="n"/>
    </row>
    <row r="36" ht="18" customHeight="1">
      <c r="A36" s="69" t="n"/>
      <c r="B36" s="69" t="n"/>
      <c r="C36" s="69" t="n"/>
    </row>
    <row r="37" ht="18" customHeight="1">
      <c r="A37" s="69" t="n"/>
      <c r="B37" s="69" t="n"/>
      <c r="C37" s="69" t="n"/>
    </row>
    <row r="38" ht="18" customHeight="1">
      <c r="A38" s="69" t="n"/>
      <c r="B38" s="69" t="n"/>
      <c r="C38" s="69" t="n"/>
    </row>
    <row r="39" ht="18" customHeight="1">
      <c r="A39" s="69" t="n"/>
      <c r="B39" s="69" t="n"/>
      <c r="C39" s="69" t="n"/>
    </row>
    <row r="40" ht="18" customHeight="1">
      <c r="A40" s="69" t="n"/>
      <c r="B40" s="69" t="n"/>
      <c r="C40" s="69" t="n"/>
    </row>
    <row r="41" ht="18" customHeight="1">
      <c r="A41" s="69" t="n"/>
      <c r="B41" s="69" t="n"/>
      <c r="C41" s="69" t="n"/>
    </row>
    <row r="42" ht="18" customHeight="1">
      <c r="A42" s="69" t="n"/>
      <c r="B42" s="69" t="n"/>
      <c r="C42" s="69" t="n"/>
    </row>
    <row r="43" ht="18" customHeight="1">
      <c r="A43" s="69" t="n"/>
      <c r="B43" s="69" t="n"/>
      <c r="C43" s="69" t="n"/>
    </row>
    <row r="44" ht="18" customHeight="1">
      <c r="A44" s="69" t="n"/>
      <c r="B44" s="69" t="n"/>
      <c r="C44" s="69" t="n"/>
    </row>
    <row r="45" ht="18" customHeight="1">
      <c r="A45" s="69" t="n"/>
      <c r="B45" s="69" t="n"/>
      <c r="C45" s="69" t="n"/>
    </row>
    <row r="46" ht="18" customHeight="1">
      <c r="A46" s="69" t="n"/>
      <c r="B46" s="69" t="n"/>
      <c r="C46" s="69" t="n"/>
    </row>
    <row r="47" ht="18" customHeight="1">
      <c r="A47" s="69" t="n"/>
      <c r="B47" s="69" t="n"/>
      <c r="C47" s="69" t="n"/>
    </row>
    <row r="48" ht="18" customHeight="1">
      <c r="A48" s="69" t="n"/>
      <c r="B48" s="69" t="n"/>
      <c r="C48" s="69" t="n"/>
    </row>
    <row r="49" ht="18" customHeight="1">
      <c r="A49" s="69" t="n"/>
      <c r="B49" s="69" t="n"/>
      <c r="C49" s="69" t="n"/>
    </row>
    <row r="50" ht="18" customHeight="1">
      <c r="A50" s="69" t="n"/>
      <c r="B50" s="69" t="n"/>
      <c r="C50" s="69" t="n"/>
    </row>
    <row r="51" ht="18" customHeight="1">
      <c r="A51" s="70" t="n"/>
      <c r="B51" s="70" t="n"/>
      <c r="C51" s="70" t="n"/>
    </row>
    <row r="52" ht="18" customHeight="1">
      <c r="A52" s="71" t="n"/>
      <c r="B52" s="71" t="n"/>
      <c r="C52" s="71" t="n"/>
    </row>
    <row r="53" ht="18" customHeight="1">
      <c r="A53" s="72" t="n"/>
      <c r="B53" s="72" t="n"/>
      <c r="C53" s="72" t="n"/>
    </row>
    <row r="54" ht="18" customHeight="1">
      <c r="A54" s="68" t="n"/>
      <c r="B54" s="68" t="n"/>
      <c r="C54" s="68" t="n"/>
    </row>
    <row r="55" ht="18" customHeight="1">
      <c r="A55" s="68" t="n"/>
      <c r="B55" s="68" t="n"/>
      <c r="C55" s="68" t="n"/>
    </row>
    <row r="56" ht="15.95" customHeight="1">
      <c r="A56" s="68" t="n"/>
      <c r="B56" s="68" t="n"/>
      <c r="C56" s="68" t="n"/>
    </row>
    <row r="57" ht="15.95" customHeight="1">
      <c r="A57" s="68" t="n"/>
      <c r="B57" s="68" t="n"/>
      <c r="C57" s="68" t="n"/>
    </row>
    <row r="59">
      <c r="D59" s="3" t="n"/>
    </row>
    <row r="60">
      <c r="D60" s="3" t="n"/>
    </row>
  </sheetData>
  <pageMargins left="0.7480314960629921" right="0.7480314960629921" top="0.3149606299212598" bottom="0.1968503937007874" header="0.3937007874015748" footer="0.1968503937007874"/>
  <pageSetup orientation="portrait" scale="73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46"/>
  <sheetViews>
    <sheetView tabSelected="1" topLeftCell="A4" workbookViewId="0">
      <selection activeCell="E18" sqref="E18"/>
    </sheetView>
  </sheetViews>
  <sheetFormatPr baseColWidth="10" defaultRowHeight="12.75"/>
  <cols>
    <col width="4.5703125" customWidth="1" style="4" min="1" max="1"/>
    <col width="13.85546875" customWidth="1" style="4" min="2" max="2"/>
    <col width="10.7109375" customWidth="1" style="4" min="3" max="4"/>
    <col width="10.7109375" customWidth="1" style="5" min="5" max="5"/>
    <col width="10.7109375" customWidth="1" style="6" min="6" max="6"/>
    <col width="11" customWidth="1" style="4" min="7" max="7"/>
    <col width="10" customWidth="1" style="4" min="8" max="8"/>
    <col width="10.140625" customWidth="1" style="4" min="9" max="9"/>
    <col width="11.42578125" customWidth="1" style="4" min="10" max="10"/>
    <col width="11.7109375" bestFit="1" customWidth="1" style="4" min="11" max="11"/>
    <col width="8.5703125" customWidth="1" style="4" min="12" max="12"/>
    <col width="10.140625" bestFit="1" customWidth="1" style="4" min="13" max="13"/>
    <col width="12.28515625" customWidth="1" style="4" min="14" max="14"/>
    <col width="10.5703125" customWidth="1" style="4" min="15" max="15"/>
    <col width="11.28515625" customWidth="1" style="4" min="16" max="16"/>
    <col width="10.140625" bestFit="1" customWidth="1" style="4" min="17" max="17"/>
    <col width="11.140625" customWidth="1" style="4" min="18" max="18"/>
    <col width="13.28515625" customWidth="1" style="4" min="19" max="19"/>
    <col width="8" customWidth="1" style="4" min="20" max="21"/>
    <col width="11.42578125" customWidth="1" style="4" min="22" max="16384"/>
  </cols>
  <sheetData>
    <row r="1">
      <c r="A1" s="4" t="inlineStr">
        <is>
          <t>ZAIDA DIDONATO</t>
        </is>
      </c>
      <c r="P1" s="73" t="n"/>
      <c r="Q1" s="73" t="n"/>
      <c r="R1" s="73" t="n"/>
      <c r="S1" s="73" t="n"/>
    </row>
    <row r="2">
      <c r="A2" s="4" t="inlineStr">
        <is>
          <t>REPORTES DE HORAS RELOJ JUNIO 2026</t>
        </is>
      </c>
      <c r="P2" s="73" t="n"/>
      <c r="Q2" s="80" t="inlineStr">
        <is>
          <t>HORARIO</t>
        </is>
      </c>
      <c r="R2" s="74" t="inlineStr">
        <is>
          <t>ENTRADA</t>
        </is>
      </c>
      <c r="S2" s="74" t="inlineStr">
        <is>
          <t>SALIDA</t>
        </is>
      </c>
    </row>
    <row r="3">
      <c r="A3" s="4" t="inlineStr">
        <is>
          <t>ALVARO ARIAS</t>
        </is>
      </c>
      <c r="P3" s="73" t="n"/>
      <c r="R3" s="75" t="n">
        <v>0.1666666666666667</v>
      </c>
      <c r="S3" s="76" t="n">
        <v>0.5</v>
      </c>
    </row>
    <row r="4">
      <c r="P4" s="73" t="n"/>
      <c r="Q4" s="73" t="n"/>
      <c r="R4" s="74" t="n"/>
      <c r="S4" s="74" t="n"/>
    </row>
    <row r="5" ht="13.5" customHeight="1" thickBot="1">
      <c r="S5" s="8" t="n"/>
    </row>
    <row r="6" ht="13.5" customHeight="1" thickBot="1">
      <c r="A6" s="81" t="inlineStr">
        <is>
          <t>Emp No.</t>
        </is>
      </c>
      <c r="B6" s="81" t="inlineStr">
        <is>
          <t>Fecha</t>
        </is>
      </c>
      <c r="C6" s="81" t="inlineStr">
        <is>
          <t>Entrada</t>
        </is>
      </c>
      <c r="D6" s="81" t="inlineStr">
        <is>
          <t>Salida</t>
        </is>
      </c>
      <c r="E6" s="82" t="inlineStr">
        <is>
          <t>Marco        Entrada</t>
        </is>
      </c>
      <c r="F6" s="83" t="inlineStr">
        <is>
          <t>Marco        Salida</t>
        </is>
      </c>
      <c r="G6" s="89" t="inlineStr">
        <is>
          <t>CONTROL ASISTENCIA</t>
        </is>
      </c>
      <c r="H6" s="90" t="n"/>
      <c r="I6" s="90" t="n"/>
      <c r="J6" s="90" t="n"/>
      <c r="K6" s="90" t="n"/>
      <c r="L6" s="91" t="n"/>
      <c r="M6" s="88" t="inlineStr">
        <is>
          <t>Horas nocturnas, suplementarias y extraordinarias</t>
        </is>
      </c>
      <c r="N6" s="92" t="n"/>
      <c r="O6" s="92" t="n"/>
      <c r="P6" s="92" t="n"/>
      <c r="Q6" s="92" t="n"/>
      <c r="R6" s="92" t="n"/>
      <c r="S6" s="93" t="n"/>
    </row>
    <row r="7" ht="51" customHeight="1">
      <c r="A7" s="94" t="n"/>
      <c r="B7" s="94" t="n"/>
      <c r="C7" s="94" t="n"/>
      <c r="D7" s="94" t="n"/>
      <c r="E7" s="95" t="n"/>
      <c r="F7" s="95" t="n"/>
      <c r="G7" s="9" t="inlineStr">
        <is>
          <t>Entrada</t>
        </is>
      </c>
      <c r="H7" s="10" t="inlineStr">
        <is>
          <t>Salida</t>
        </is>
      </c>
      <c r="I7" s="10" t="inlineStr">
        <is>
          <t>TOTAL</t>
        </is>
      </c>
      <c r="J7" s="10" t="inlineStr">
        <is>
          <t>Atraso</t>
        </is>
      </c>
      <c r="K7" s="11" t="inlineStr">
        <is>
          <t>Salida Temprano</t>
        </is>
      </c>
      <c r="L7" s="12" t="inlineStr">
        <is>
          <t>TOTAL</t>
        </is>
      </c>
      <c r="M7" s="13" t="inlineStr">
        <is>
          <t>Horario nocturno  base       mañana</t>
        </is>
      </c>
      <c r="N7" s="14" t="inlineStr">
        <is>
          <t xml:space="preserve">Horas Nocturnas </t>
        </is>
      </c>
      <c r="O7" s="14" t="inlineStr">
        <is>
          <t>Horas Suplement Base</t>
        </is>
      </c>
      <c r="P7" s="14" t="inlineStr">
        <is>
          <t>Horario normal</t>
        </is>
      </c>
      <c r="Q7" s="14" t="inlineStr">
        <is>
          <t>Comida</t>
        </is>
      </c>
      <c r="R7" s="14" t="inlineStr">
        <is>
          <t xml:space="preserve">Horas Suplementarias </t>
        </is>
      </c>
      <c r="S7" s="14" t="inlineStr">
        <is>
          <t xml:space="preserve">Horas Extraordinarias </t>
        </is>
      </c>
    </row>
    <row r="8">
      <c r="A8" s="15" t="inlineStr">
        <is>
          <t>3</t>
        </is>
      </c>
      <c r="B8" s="96" t="n">
        <v>46143</v>
      </c>
      <c r="C8" s="17" t="n">
        <v>0.1666666666666667</v>
      </c>
      <c r="D8" s="17" t="n">
        <v>0.5104166666666666</v>
      </c>
      <c r="E8" s="97" t="n">
        <v>0.1127314814814815</v>
      </c>
      <c r="F8" s="98" t="n">
        <v>0.5421527777777778</v>
      </c>
      <c r="G8" s="20">
        <f>IF(C8-E8&gt;0,+C8-E8,0)</f>
        <v/>
      </c>
      <c r="H8" s="7">
        <f>IF(F8-D8&gt;0,+F8-D8,0)</f>
        <v/>
      </c>
      <c r="I8" s="7">
        <f>SUM(G8:H8)</f>
        <v/>
      </c>
      <c r="J8" s="21">
        <f>IF(C8-E8&lt;0,+(+C8-E8)*-1,0)</f>
        <v/>
      </c>
      <c r="K8" s="7">
        <f>IF(F8-D8&lt;0,+(+F8-D8)*-1,0)</f>
        <v/>
      </c>
      <c r="L8" s="22">
        <f>+J8+K8</f>
        <v/>
      </c>
      <c r="M8" s="23" t="n">
        <v>0.25</v>
      </c>
      <c r="N8" s="7">
        <f>IF(M8-E8&gt;0,M8-E8,0)</f>
        <v/>
      </c>
      <c r="O8" s="24">
        <f>+F8-E8</f>
        <v/>
      </c>
      <c r="P8" s="24" t="n">
        <v>0.3333333333333333</v>
      </c>
      <c r="Q8" s="7" t="n">
        <v>0.01041666666666667</v>
      </c>
      <c r="R8" s="24">
        <f>IF(O8-P8-Q8&gt;0,(O8-P8-Q8),0)</f>
        <v/>
      </c>
      <c r="S8" s="25" t="n"/>
    </row>
    <row r="9">
      <c r="A9" s="15" t="inlineStr">
        <is>
          <t>3</t>
        </is>
      </c>
      <c r="B9" s="96" t="n">
        <v>46144</v>
      </c>
      <c r="C9" s="17" t="n">
        <v>0.1666666666666667</v>
      </c>
      <c r="D9" s="17" t="n">
        <v>0.5104166666666666</v>
      </c>
      <c r="E9" s="97" t="n">
        <v>0.1113078703703704</v>
      </c>
      <c r="F9" s="98" t="n">
        <v>0.5219444444444444</v>
      </c>
      <c r="G9" s="20">
        <f>IF(C9-E9&gt;0,+C9-E9,0)</f>
        <v/>
      </c>
      <c r="H9" s="7">
        <f>IF(F9-D9&gt;0,+F9-D9,0)</f>
        <v/>
      </c>
      <c r="I9" s="7">
        <f>SUM(G9:H9)</f>
        <v/>
      </c>
      <c r="J9" s="21">
        <f>IF(C9-E9&lt;0,+(+C9-E9)*-1,0)</f>
        <v/>
      </c>
      <c r="K9" s="7">
        <f>IF(F9-D9&lt;0,+(+F9-D9)*-1,0)</f>
        <v/>
      </c>
      <c r="L9" s="22">
        <f>+J9+K9</f>
        <v/>
      </c>
      <c r="M9" s="23" t="n">
        <v>0.25</v>
      </c>
      <c r="N9" s="7">
        <f>IF(M9-E9&gt;0,M9-E9,0)</f>
        <v/>
      </c>
      <c r="O9" s="24">
        <f>+F9-E9</f>
        <v/>
      </c>
      <c r="P9" s="24" t="n">
        <v>0.3333333333333333</v>
      </c>
      <c r="Q9" s="7" t="n">
        <v>0.01041666666666667</v>
      </c>
      <c r="R9" s="24">
        <f>IF(O9-P9-Q9&gt;0,(O9-P9-Q9),0)</f>
        <v/>
      </c>
      <c r="S9" s="25" t="n"/>
    </row>
    <row r="10">
      <c r="A10" s="15" t="inlineStr">
        <is>
          <t>3</t>
        </is>
      </c>
      <c r="B10" s="96" t="n">
        <v>46146</v>
      </c>
      <c r="C10" s="17" t="n">
        <v>0.1666666666666667</v>
      </c>
      <c r="D10" s="17" t="n">
        <v>0.5104166666666666</v>
      </c>
      <c r="E10" s="97" t="n">
        <v>0.2157175925925926</v>
      </c>
      <c r="F10" s="98" t="n">
        <v>0.5757986111111111</v>
      </c>
      <c r="G10" s="20">
        <f>IF(C10-E10&gt;0,+C10-E10,0)</f>
        <v/>
      </c>
      <c r="H10" s="7">
        <f>IF(F10-D10&gt;0,+F10-D10,0)</f>
        <v/>
      </c>
      <c r="I10" s="7">
        <f>SUM(G10:H10)</f>
        <v/>
      </c>
      <c r="J10" s="21">
        <f>IF(C10-E10&lt;0,+(+C10-E10)*-1,0)</f>
        <v/>
      </c>
      <c r="K10" s="7">
        <f>IF(F10-D10&lt;0,+(+F10-D10)*-1,0)</f>
        <v/>
      </c>
      <c r="L10" s="22">
        <f>+J10+K10</f>
        <v/>
      </c>
      <c r="M10" s="23" t="n">
        <v>0.25</v>
      </c>
      <c r="N10" s="7">
        <f>IF(M10-E10&gt;0,M10-E10,0)</f>
        <v/>
      </c>
      <c r="O10" s="24">
        <f>+F10-E10</f>
        <v/>
      </c>
      <c r="P10" s="24" t="n">
        <v>0.3333333333333333</v>
      </c>
      <c r="Q10" s="7" t="n">
        <v>0.01041666666666667</v>
      </c>
      <c r="R10" s="24">
        <f>IF(O10-P10-Q10&gt;0,(O10-P10-Q10),0)</f>
        <v/>
      </c>
      <c r="S10" s="25" t="n"/>
    </row>
    <row r="11">
      <c r="A11" s="15" t="inlineStr">
        <is>
          <t>3</t>
        </is>
      </c>
      <c r="B11" s="96" t="n">
        <v>46147</v>
      </c>
      <c r="C11" s="17" t="n">
        <v>0.1666666666666667</v>
      </c>
      <c r="D11" s="17" t="n">
        <v>0.5104166666666666</v>
      </c>
      <c r="E11" s="97" t="n">
        <v>0.2130092592592593</v>
      </c>
      <c r="F11" s="98" t="n">
        <v>0.6121064814814815</v>
      </c>
      <c r="G11" s="20">
        <f>IF(C11-E11&gt;0,+C11-E11,0)</f>
        <v/>
      </c>
      <c r="H11" s="7">
        <f>IF(F11-D11&gt;0,+F11-D11,0)</f>
        <v/>
      </c>
      <c r="I11" s="7">
        <f>SUM(G11:H11)</f>
        <v/>
      </c>
      <c r="J11" s="21">
        <f>IF(C11-E11&lt;0,+(+C11-E11)*-1,0)</f>
        <v/>
      </c>
      <c r="K11" s="7">
        <f>IF(F11-D11&lt;0,+(+F11-D11)*-1,0)</f>
        <v/>
      </c>
      <c r="L11" s="22">
        <f>+J11+K11</f>
        <v/>
      </c>
      <c r="M11" s="23" t="n">
        <v>0.25</v>
      </c>
      <c r="N11" s="7">
        <f>IF(M11-E11&gt;0,M11-E11,0)</f>
        <v/>
      </c>
      <c r="O11" s="24">
        <f>+F11-E11</f>
        <v/>
      </c>
      <c r="P11" s="24" t="n">
        <v>0.3333333333333333</v>
      </c>
      <c r="Q11" s="7" t="n">
        <v>0.01041666666666667</v>
      </c>
      <c r="R11" s="24">
        <f>IF(O11-P11-Q11&gt;0,(O11-P11-Q11),0)</f>
        <v/>
      </c>
      <c r="S11" s="25" t="n"/>
    </row>
    <row r="12">
      <c r="A12" s="15" t="inlineStr">
        <is>
          <t>3</t>
        </is>
      </c>
      <c r="B12" s="96" t="n">
        <v>46148</v>
      </c>
      <c r="C12" s="17" t="n">
        <v>0.1666666666666667</v>
      </c>
      <c r="D12" s="17" t="n">
        <v>0.5104166666666666</v>
      </c>
      <c r="E12" s="97" t="n">
        <v>0.2115393518518519</v>
      </c>
      <c r="F12" s="98" t="n">
        <v>0.5528240740740741</v>
      </c>
      <c r="G12" s="20">
        <f>IF(C12-E12&gt;0,+C12-E12,0)</f>
        <v/>
      </c>
      <c r="H12" s="7">
        <f>IF(F12-D12&gt;0,+F12-D12,0)</f>
        <v/>
      </c>
      <c r="I12" s="7">
        <f>SUM(G12:H12)</f>
        <v/>
      </c>
      <c r="J12" s="21">
        <f>IF(C12-E12&lt;0,+(+C12-E12)*-1,0)</f>
        <v/>
      </c>
      <c r="K12" s="7">
        <f>IF(F12-D12&lt;0,+(+F12-D12)*-1,0)</f>
        <v/>
      </c>
      <c r="L12" s="22">
        <f>+J12+K12</f>
        <v/>
      </c>
      <c r="M12" s="23" t="n">
        <v>0.25</v>
      </c>
      <c r="N12" s="7">
        <f>IF(M12-E12&gt;0,M12-E12,0)</f>
        <v/>
      </c>
      <c r="O12" s="24">
        <f>+F12-E12</f>
        <v/>
      </c>
      <c r="P12" s="24" t="n">
        <v>0.3333333333333333</v>
      </c>
      <c r="Q12" s="7" t="n">
        <v>0.01041666666666667</v>
      </c>
      <c r="R12" s="24">
        <f>IF(O12-P12-Q12&gt;0,(O12-P12-Q12),0)</f>
        <v/>
      </c>
      <c r="S12" s="25" t="n"/>
    </row>
    <row r="13">
      <c r="A13" s="26" t="inlineStr">
        <is>
          <t>3</t>
        </is>
      </c>
      <c r="B13" s="99" t="n">
        <v>46149</v>
      </c>
      <c r="C13" s="28" t="n">
        <v>0.1666666666666667</v>
      </c>
      <c r="D13" s="28" t="n">
        <v>0.5104166666666666</v>
      </c>
      <c r="E13" s="100" t="n">
        <v>0.5820601851851852</v>
      </c>
      <c r="F13" s="101" t="n">
        <v>0.5820601851851852</v>
      </c>
      <c r="G13" s="31">
        <f>IF(C13-E13&gt;0,+C13-E13,0)</f>
        <v/>
      </c>
      <c r="H13" s="32">
        <f>IF(F13-D13&gt;0,+F13-D13,0)</f>
        <v/>
      </c>
      <c r="I13" s="32">
        <f>SUM(G13:H13)</f>
        <v/>
      </c>
      <c r="J13" s="33">
        <f>IF(C13-E13&lt;0,+(+C13-E13)*-1,0)</f>
        <v/>
      </c>
      <c r="K13" s="32">
        <f>IF(F13-D13&lt;0,+(+F13-D13)*-1,0)</f>
        <v/>
      </c>
      <c r="L13" s="34">
        <f>+J13+K13</f>
        <v/>
      </c>
      <c r="M13" s="35" t="n"/>
      <c r="N13" s="32" t="n"/>
      <c r="O13" s="36">
        <f>+F13-E13</f>
        <v/>
      </c>
      <c r="P13" s="36" t="n"/>
      <c r="Q13" s="32" t="n"/>
      <c r="R13" s="36" t="n"/>
      <c r="S13" s="36">
        <f>+F13-E13</f>
        <v/>
      </c>
      <c r="Y13" s="8" t="n"/>
    </row>
    <row r="14">
      <c r="A14" s="15" t="inlineStr">
        <is>
          <t>3</t>
        </is>
      </c>
      <c r="B14" s="96" t="n">
        <v>46150</v>
      </c>
      <c r="C14" s="17" t="n">
        <v>0.1666666666666667</v>
      </c>
      <c r="D14" s="17" t="n">
        <v>0.5104166666666666</v>
      </c>
      <c r="E14" s="97" t="n">
        <v>0.2102314814814815</v>
      </c>
      <c r="F14" s="98" t="n">
        <v>0.579837962962963</v>
      </c>
      <c r="G14" s="20">
        <f>IF(C14-E14&gt;0,+C14-E14,0)</f>
        <v/>
      </c>
      <c r="H14" s="7">
        <f>IF(F14-D14&gt;0,+F14-D14,0)</f>
        <v/>
      </c>
      <c r="I14" s="7">
        <f>SUM(G14:H14)</f>
        <v/>
      </c>
      <c r="J14" s="21">
        <f>IF(C14-E14&lt;0,+(+C14-E14)*-1,0)</f>
        <v/>
      </c>
      <c r="K14" s="7">
        <f>IF(F14-D14&lt;0,+(+F14-D14)*-1,0)</f>
        <v/>
      </c>
      <c r="L14" s="22">
        <f>+J14+K14</f>
        <v/>
      </c>
      <c r="M14" s="23" t="n">
        <v>0.25</v>
      </c>
      <c r="N14" s="7">
        <f>IF(M14-E14&gt;0,M14-E14,0)</f>
        <v/>
      </c>
      <c r="O14" s="24">
        <f>+F14-E14</f>
        <v/>
      </c>
      <c r="P14" s="24" t="n">
        <v>0.3333333333333333</v>
      </c>
      <c r="Q14" s="7" t="n">
        <v>0.01041666666666667</v>
      </c>
      <c r="R14" s="24">
        <f>IF(O14-P14-Q14&gt;0,(O14-P14-Q14),0)</f>
        <v/>
      </c>
      <c r="S14" s="25" t="n"/>
    </row>
    <row r="15">
      <c r="A15" s="15" t="inlineStr">
        <is>
          <t>3</t>
        </is>
      </c>
      <c r="B15" s="96" t="n">
        <v>46151</v>
      </c>
      <c r="C15" s="17" t="n">
        <v>0.1666666666666667</v>
      </c>
      <c r="D15" s="17" t="n">
        <v>0.5104166666666666</v>
      </c>
      <c r="E15" s="97" t="n">
        <v>0.2084606481481482</v>
      </c>
      <c r="F15" s="98" t="n">
        <v>0.5642939814814815</v>
      </c>
      <c r="G15" s="20">
        <f>IF(C15-E15&gt;0,+C15-E15,0)</f>
        <v/>
      </c>
      <c r="H15" s="7">
        <f>IF(F15-D15&gt;0,+F15-D15,0)</f>
        <v/>
      </c>
      <c r="I15" s="7">
        <f>SUM(G15:H15)</f>
        <v/>
      </c>
      <c r="J15" s="21">
        <f>IF(C15-E15&lt;0,+(+C15-E15)*-1,0)</f>
        <v/>
      </c>
      <c r="K15" s="7">
        <f>IF(F15-D15&lt;0,+(+F15-D15)*-1,0)</f>
        <v/>
      </c>
      <c r="L15" s="22">
        <f>+J15+K15</f>
        <v/>
      </c>
      <c r="M15" s="23" t="n">
        <v>0.25</v>
      </c>
      <c r="N15" s="7">
        <f>IF(M15-E15&gt;0,M15-E15,0)</f>
        <v/>
      </c>
      <c r="O15" s="24">
        <f>+F15-E15</f>
        <v/>
      </c>
      <c r="P15" s="24" t="n">
        <v>0.3333333333333333</v>
      </c>
      <c r="Q15" s="7" t="n">
        <v>0.01041666666666667</v>
      </c>
      <c r="R15" s="24">
        <f>IF(O15-P15-Q15&gt;0,(O15-P15-Q15),0)</f>
        <v/>
      </c>
      <c r="S15" s="25" t="n"/>
    </row>
    <row r="16">
      <c r="A16" s="15" t="inlineStr">
        <is>
          <t>3</t>
        </is>
      </c>
      <c r="B16" s="96" t="n">
        <v>46153</v>
      </c>
      <c r="C16" s="17" t="n">
        <v>0.1666666666666667</v>
      </c>
      <c r="D16" s="17" t="n">
        <v>0.5104166666666666</v>
      </c>
      <c r="E16" s="97" t="n">
        <v>0.2087962962962963</v>
      </c>
      <c r="F16" s="98" t="n">
        <v>0.5637037037037037</v>
      </c>
      <c r="G16" s="20">
        <f>IF(C16-E16&gt;0,+C16-E16,0)</f>
        <v/>
      </c>
      <c r="H16" s="7">
        <f>IF(F16-D16&gt;0,+F16-D16,0)</f>
        <v/>
      </c>
      <c r="I16" s="7">
        <f>SUM(G16:H16)</f>
        <v/>
      </c>
      <c r="J16" s="21">
        <f>IF(C16-E16&lt;0,+(+C16-E16)*-1,0)</f>
        <v/>
      </c>
      <c r="K16" s="7">
        <f>IF(F16-D16&lt;0,+(+F16-D16)*-1,0)</f>
        <v/>
      </c>
      <c r="L16" s="22">
        <f>+J16+K16</f>
        <v/>
      </c>
      <c r="M16" s="23" t="n">
        <v>0.25</v>
      </c>
      <c r="N16" s="7">
        <f>IF(M16-E16&gt;0,M16-E16,0)</f>
        <v/>
      </c>
      <c r="O16" s="24">
        <f>+F16-E16</f>
        <v/>
      </c>
      <c r="P16" s="24" t="n">
        <v>0.3333333333333333</v>
      </c>
      <c r="Q16" s="7" t="n">
        <v>0.01041666666666667</v>
      </c>
      <c r="R16" s="24">
        <f>IF(O16-P16-Q16&gt;0,(O16-P16-Q16),0)</f>
        <v/>
      </c>
      <c r="S16" s="25" t="n"/>
    </row>
    <row r="17">
      <c r="A17" s="15" t="inlineStr">
        <is>
          <t>3</t>
        </is>
      </c>
      <c r="B17" s="96" t="n">
        <v>46154</v>
      </c>
      <c r="C17" s="17" t="n">
        <v>0.1666666666666667</v>
      </c>
      <c r="D17" s="17" t="n">
        <v>0.5104166666666666</v>
      </c>
      <c r="E17" s="97" t="n">
        <v>0.2070138888888889</v>
      </c>
      <c r="F17" s="98" t="n">
        <v>0.5266203703703703</v>
      </c>
      <c r="G17" s="20">
        <f>IF(C17-E17&gt;0,+C17-E17,0)</f>
        <v/>
      </c>
      <c r="H17" s="7">
        <f>IF(F17-D17&gt;0,+F17-D17,0)</f>
        <v/>
      </c>
      <c r="I17" s="7">
        <f>SUM(G17:H17)</f>
        <v/>
      </c>
      <c r="J17" s="21">
        <f>IF(C17-E17&lt;0,+(+C17-E17)*-1,0)</f>
        <v/>
      </c>
      <c r="K17" s="7">
        <f>IF(F17-D17&lt;0,+(+F17-D17)*-1,0)</f>
        <v/>
      </c>
      <c r="L17" s="22">
        <f>+J17+K17</f>
        <v/>
      </c>
      <c r="M17" s="23" t="n">
        <v>0.25</v>
      </c>
      <c r="N17" s="7">
        <f>IF(M17-E17&gt;0,M17-E17,0)</f>
        <v/>
      </c>
      <c r="O17" s="24">
        <f>+F17-E17</f>
        <v/>
      </c>
      <c r="P17" s="24" t="n">
        <v>0.3333333333333333</v>
      </c>
      <c r="Q17" s="7" t="n">
        <v>0.01041666666666667</v>
      </c>
      <c r="R17" s="24">
        <f>IF(O17-P17-Q17&gt;0,(O17-P17-Q17),0)</f>
        <v/>
      </c>
      <c r="S17" s="25" t="n"/>
    </row>
    <row r="18">
      <c r="A18" s="15" t="inlineStr">
        <is>
          <t>3</t>
        </is>
      </c>
      <c r="B18" s="96" t="n">
        <v>46155</v>
      </c>
      <c r="C18" s="17" t="n">
        <v>0.1666666666666667</v>
      </c>
      <c r="D18" s="17" t="n">
        <v>0.5104166666666666</v>
      </c>
      <c r="E18" s="97" t="n">
        <v>0.2065393518518518</v>
      </c>
      <c r="F18" s="98" t="n">
        <v>0.5799305555555555</v>
      </c>
      <c r="G18" s="20">
        <f>IF(C18-E18&gt;0,+C18-E18,0)</f>
        <v/>
      </c>
      <c r="H18" s="7">
        <f>IF(F18-D18&gt;0,+F18-D18,0)</f>
        <v/>
      </c>
      <c r="I18" s="7">
        <f>SUM(G18:H18)</f>
        <v/>
      </c>
      <c r="J18" s="21">
        <f>IF(C18-E18&lt;0,+(+C18-E18)*-1,0)</f>
        <v/>
      </c>
      <c r="K18" s="7">
        <f>IF(F18-D18&lt;0,+(+F18-D18)*-1,0)</f>
        <v/>
      </c>
      <c r="L18" s="22">
        <f>+J18+K18</f>
        <v/>
      </c>
      <c r="M18" s="23" t="n">
        <v>0.25</v>
      </c>
      <c r="N18" s="7">
        <f>IF(M18-E18&gt;0,M18-E18,0)</f>
        <v/>
      </c>
      <c r="O18" s="24">
        <f>+F18-E18</f>
        <v/>
      </c>
      <c r="P18" s="24" t="n">
        <v>0.3333333333333333</v>
      </c>
      <c r="Q18" s="7" t="n">
        <v>0.01041666666666667</v>
      </c>
      <c r="R18" s="24">
        <f>IF(O18-P18-Q18&gt;0,(O18-P18-Q18),0)</f>
        <v/>
      </c>
      <c r="S18" s="25" t="n"/>
    </row>
    <row r="19">
      <c r="A19" s="26" t="inlineStr">
        <is>
          <t>3</t>
        </is>
      </c>
      <c r="B19" s="99" t="n">
        <v>46156</v>
      </c>
      <c r="C19" s="28" t="n">
        <v>0.1666666666666667</v>
      </c>
      <c r="D19" s="28" t="n">
        <v>0.5104166666666666</v>
      </c>
      <c r="E19" s="100" t="n">
        <v>0.2064699074074074</v>
      </c>
      <c r="F19" s="101" t="n">
        <v>0.5137962962962963</v>
      </c>
      <c r="G19" s="31">
        <f>IF(C19-E19&gt;0,+C19-E19,0)</f>
        <v/>
      </c>
      <c r="H19" s="32">
        <f>IF(F19-D19&gt;0,+F19-D19,0)</f>
        <v/>
      </c>
      <c r="I19" s="32">
        <f>SUM(G19:H19)</f>
        <v/>
      </c>
      <c r="J19" s="33">
        <f>IF(C19-E19&lt;0,+(+C19-E19)*-1,0)</f>
        <v/>
      </c>
      <c r="K19" s="32">
        <f>IF(F19-D19&lt;0,+(+F19-D19)*-1,0)</f>
        <v/>
      </c>
      <c r="L19" s="34">
        <f>+J19+K19</f>
        <v/>
      </c>
      <c r="M19" s="35" t="n"/>
      <c r="N19" s="32" t="n"/>
      <c r="O19" s="36">
        <f>+F19-E19</f>
        <v/>
      </c>
      <c r="P19" s="36" t="n"/>
      <c r="Q19" s="32" t="n"/>
      <c r="R19" s="36" t="n"/>
      <c r="S19" s="36">
        <f>+F19-E19</f>
        <v/>
      </c>
      <c r="Y19" s="8" t="n"/>
    </row>
    <row r="20">
      <c r="A20" s="15" t="inlineStr">
        <is>
          <t>3</t>
        </is>
      </c>
      <c r="B20" s="96" t="n">
        <v>46157</v>
      </c>
      <c r="C20" s="17" t="n">
        <v>0.1666666666666667</v>
      </c>
      <c r="D20" s="17" t="n">
        <v>0.5104166666666666</v>
      </c>
      <c r="E20" s="97" t="n">
        <v>0.2076157407407407</v>
      </c>
      <c r="F20" s="98" t="n">
        <v>0.5165972222222223</v>
      </c>
      <c r="G20" s="20">
        <f>IF(C20-E20&gt;0,+C20-E20,0)</f>
        <v/>
      </c>
      <c r="H20" s="7">
        <f>IF(F20-D20&gt;0,+F20-D20,0)</f>
        <v/>
      </c>
      <c r="I20" s="7">
        <f>SUM(G20:H20)</f>
        <v/>
      </c>
      <c r="J20" s="21">
        <f>IF(C20-E20&lt;0,+(+C20-E20)*-1,0)</f>
        <v/>
      </c>
      <c r="K20" s="7">
        <f>IF(F20-D20&lt;0,+(+F20-D20)*-1,0)</f>
        <v/>
      </c>
      <c r="L20" s="22">
        <f>+J20+K20</f>
        <v/>
      </c>
      <c r="M20" s="23" t="n">
        <v>0.25</v>
      </c>
      <c r="N20" s="7">
        <f>IF(M20-E20&gt;0,M20-E20,0)</f>
        <v/>
      </c>
      <c r="O20" s="24">
        <f>+F20-E20</f>
        <v/>
      </c>
      <c r="P20" s="24" t="n">
        <v>0.3333333333333333</v>
      </c>
      <c r="Q20" s="7" t="n">
        <v>0.01041666666666667</v>
      </c>
      <c r="R20" s="24">
        <f>IF(O20-P20-Q20&gt;0,(O20-P20-Q20),0)</f>
        <v/>
      </c>
      <c r="S20" s="25" t="n"/>
    </row>
    <row r="21">
      <c r="A21" s="15" t="inlineStr">
        <is>
          <t>3</t>
        </is>
      </c>
      <c r="B21" s="96" t="n">
        <v>46158</v>
      </c>
      <c r="C21" s="17" t="n">
        <v>0.1666666666666667</v>
      </c>
      <c r="D21" s="17" t="n">
        <v>0.5104166666666666</v>
      </c>
      <c r="E21" s="97" t="n">
        <v>0.2071527777777778</v>
      </c>
      <c r="F21" s="98" t="n">
        <v>0.52625</v>
      </c>
      <c r="G21" s="20">
        <f>IF(C21-E21&gt;0,+C21-E21,0)</f>
        <v/>
      </c>
      <c r="H21" s="7">
        <f>IF(F21-D21&gt;0,+F21-D21,0)</f>
        <v/>
      </c>
      <c r="I21" s="7">
        <f>SUM(G21:H21)</f>
        <v/>
      </c>
      <c r="J21" s="21">
        <f>IF(C21-E21&lt;0,+(+C21-E21)*-1,0)</f>
        <v/>
      </c>
      <c r="K21" s="7">
        <f>IF(F21-D21&lt;0,+(+F21-D21)*-1,0)</f>
        <v/>
      </c>
      <c r="L21" s="22">
        <f>+J21+K21</f>
        <v/>
      </c>
      <c r="M21" s="23" t="n">
        <v>0.25</v>
      </c>
      <c r="N21" s="7">
        <f>IF(M21-E21&gt;0,M21-E21,0)</f>
        <v/>
      </c>
      <c r="O21" s="24">
        <f>+F21-E21</f>
        <v/>
      </c>
      <c r="P21" s="24" t="n">
        <v>0.3333333333333333</v>
      </c>
      <c r="Q21" s="7" t="n">
        <v>0.01041666666666667</v>
      </c>
      <c r="R21" s="24">
        <f>IF(O21-P21-Q21&gt;0,(O21-P21-Q21),0)</f>
        <v/>
      </c>
      <c r="S21" s="25" t="n"/>
    </row>
    <row r="22">
      <c r="A22" s="15" t="inlineStr">
        <is>
          <t>3</t>
        </is>
      </c>
      <c r="B22" s="96" t="n">
        <v>46160</v>
      </c>
      <c r="C22" s="17" t="n">
        <v>0.1666666666666667</v>
      </c>
      <c r="D22" s="17" t="n">
        <v>0.5104166666666666</v>
      </c>
      <c r="E22" s="97" t="n">
        <v>0.2065162037037037</v>
      </c>
      <c r="F22" s="98" t="n">
        <v>0.5886689814814815</v>
      </c>
      <c r="G22" s="20">
        <f>IF(C22-E22&gt;0,+C22-E22,0)</f>
        <v/>
      </c>
      <c r="H22" s="7">
        <f>IF(F22-D22&gt;0,+F22-D22,0)</f>
        <v/>
      </c>
      <c r="I22" s="7">
        <f>SUM(G22:H22)</f>
        <v/>
      </c>
      <c r="J22" s="21">
        <f>IF(C22-E22&lt;0,+(+C22-E22)*-1,0)</f>
        <v/>
      </c>
      <c r="K22" s="7">
        <f>IF(F22-D22&lt;0,+(+F22-D22)*-1,0)</f>
        <v/>
      </c>
      <c r="L22" s="22">
        <f>+J22+K22</f>
        <v/>
      </c>
      <c r="M22" s="23" t="n">
        <v>0.25</v>
      </c>
      <c r="N22" s="7">
        <f>IF(M22-E22&gt;0,M22-E22,0)</f>
        <v/>
      </c>
      <c r="O22" s="24">
        <f>+F22-E22</f>
        <v/>
      </c>
      <c r="P22" s="24" t="n">
        <v>0.3333333333333333</v>
      </c>
      <c r="Q22" s="7" t="n">
        <v>0.01041666666666667</v>
      </c>
      <c r="R22" s="24">
        <f>IF(O22-P22-Q22&gt;0,(O22-P22-Q22),0)</f>
        <v/>
      </c>
      <c r="S22" s="25" t="n"/>
    </row>
    <row r="23">
      <c r="A23" s="15" t="inlineStr">
        <is>
          <t>3</t>
        </is>
      </c>
      <c r="B23" s="96" t="n">
        <v>46161</v>
      </c>
      <c r="C23" s="17" t="n">
        <v>0.1666666666666667</v>
      </c>
      <c r="D23" s="17" t="n">
        <v>0.5104166666666666</v>
      </c>
      <c r="E23" s="97" t="n">
        <v>0.1138773148148148</v>
      </c>
      <c r="F23" s="98" t="n">
        <v>0.5298958333333333</v>
      </c>
      <c r="G23" s="20">
        <f>IF(C23-E23&gt;0,+C23-E23,0)</f>
        <v/>
      </c>
      <c r="H23" s="7">
        <f>IF(F23-D23&gt;0,+F23-D23,0)</f>
        <v/>
      </c>
      <c r="I23" s="7">
        <f>SUM(G23:H23)</f>
        <v/>
      </c>
      <c r="J23" s="21">
        <f>IF(C23-E23&lt;0,+(+C23-E23)*-1,0)</f>
        <v/>
      </c>
      <c r="K23" s="7">
        <f>IF(F23-D23&lt;0,+(+F23-D23)*-1,0)</f>
        <v/>
      </c>
      <c r="L23" s="22">
        <f>+J23+K23</f>
        <v/>
      </c>
      <c r="M23" s="23" t="n">
        <v>0.25</v>
      </c>
      <c r="N23" s="7">
        <f>IF(M23-E23&gt;0,M23-E23,0)</f>
        <v/>
      </c>
      <c r="O23" s="24">
        <f>+F23-E23</f>
        <v/>
      </c>
      <c r="P23" s="24" t="n">
        <v>0.3333333333333333</v>
      </c>
      <c r="Q23" s="7" t="n">
        <v>0.01041666666666667</v>
      </c>
      <c r="R23" s="24">
        <f>IF(O23-P23-Q23&gt;0,(O23-P23-Q23),0)</f>
        <v/>
      </c>
      <c r="S23" s="25" t="n"/>
    </row>
    <row r="24">
      <c r="A24" s="15" t="inlineStr">
        <is>
          <t>3</t>
        </is>
      </c>
      <c r="B24" s="96" t="n">
        <v>46162</v>
      </c>
      <c r="C24" s="17" t="n">
        <v>0.1666666666666667</v>
      </c>
      <c r="D24" s="17" t="n">
        <v>0.5104166666666666</v>
      </c>
      <c r="E24" s="97" t="n">
        <v>0.1133564814814815</v>
      </c>
      <c r="F24" s="98" t="n">
        <v>0.5007291666666667</v>
      </c>
      <c r="G24" s="20">
        <f>IF(C24-E24&gt;0,+C24-E24,0)</f>
        <v/>
      </c>
      <c r="H24" s="7">
        <f>IF(F24-D24&gt;0,+F24-D24,0)</f>
        <v/>
      </c>
      <c r="I24" s="7">
        <f>SUM(G24:H24)</f>
        <v/>
      </c>
      <c r="J24" s="21">
        <f>IF(C24-E24&lt;0,+(+C24-E24)*-1,0)</f>
        <v/>
      </c>
      <c r="K24" s="7">
        <f>IF(F24-D24&lt;0,+(+F24-D24)*-1,0)</f>
        <v/>
      </c>
      <c r="L24" s="22">
        <f>+J24+K24</f>
        <v/>
      </c>
      <c r="M24" s="23" t="n">
        <v>0.25</v>
      </c>
      <c r="N24" s="7">
        <f>IF(M24-E24&gt;0,M24-E24,0)</f>
        <v/>
      </c>
      <c r="O24" s="24">
        <f>+F24-E24</f>
        <v/>
      </c>
      <c r="P24" s="24" t="n">
        <v>0.3333333333333333</v>
      </c>
      <c r="Q24" s="7" t="n">
        <v>0.01041666666666667</v>
      </c>
      <c r="R24" s="24">
        <f>IF(O24-P24-Q24&gt;0,(O24-P24-Q24),0)</f>
        <v/>
      </c>
      <c r="S24" s="25" t="n"/>
    </row>
    <row r="25">
      <c r="A25" s="26" t="inlineStr">
        <is>
          <t>3</t>
        </is>
      </c>
      <c r="B25" s="99" t="n">
        <v>46163</v>
      </c>
      <c r="C25" s="28" t="n">
        <v>0.1666666666666667</v>
      </c>
      <c r="D25" s="28" t="n">
        <v>0.5104166666666666</v>
      </c>
      <c r="E25" s="100" t="n">
        <v>0.113587962962963</v>
      </c>
      <c r="F25" s="101" t="n">
        <v>0.5106597222222222</v>
      </c>
      <c r="G25" s="31">
        <f>IF(C25-E25&gt;0,+C25-E25,0)</f>
        <v/>
      </c>
      <c r="H25" s="32">
        <f>IF(F25-D25&gt;0,+F25-D25,0)</f>
        <v/>
      </c>
      <c r="I25" s="32">
        <f>SUM(G25:H25)</f>
        <v/>
      </c>
      <c r="J25" s="33">
        <f>IF(C25-E25&lt;0,+(+C25-E25)*-1,0)</f>
        <v/>
      </c>
      <c r="K25" s="32">
        <f>IF(F25-D25&lt;0,+(+F25-D25)*-1,0)</f>
        <v/>
      </c>
      <c r="L25" s="34">
        <f>+J25+K25</f>
        <v/>
      </c>
      <c r="M25" s="35" t="n"/>
      <c r="N25" s="32" t="n"/>
      <c r="O25" s="36">
        <f>+F25-E25</f>
        <v/>
      </c>
      <c r="P25" s="36" t="n"/>
      <c r="Q25" s="32" t="n"/>
      <c r="R25" s="36" t="n"/>
      <c r="S25" s="36">
        <f>+F25-E25</f>
        <v/>
      </c>
      <c r="Y25" s="8" t="n"/>
    </row>
    <row r="26">
      <c r="A26" s="15" t="inlineStr">
        <is>
          <t>3</t>
        </is>
      </c>
      <c r="B26" s="96" t="n">
        <v>46164</v>
      </c>
      <c r="C26" s="17" t="n">
        <v>0.1666666666666667</v>
      </c>
      <c r="D26" s="17" t="n">
        <v>0.5104166666666666</v>
      </c>
      <c r="E26" s="97" t="n">
        <v>0.1136226851851852</v>
      </c>
      <c r="F26" s="98" t="n">
        <v>0.5192129629629629</v>
      </c>
      <c r="G26" s="20">
        <f>IF(C26-E26&gt;0,+C26-E26,0)</f>
        <v/>
      </c>
      <c r="H26" s="7">
        <f>IF(F26-D26&gt;0,+F26-D26,0)</f>
        <v/>
      </c>
      <c r="I26" s="7">
        <f>SUM(G26:H26)</f>
        <v/>
      </c>
      <c r="J26" s="21">
        <f>IF(C26-E26&lt;0,+(+C26-E26)*-1,0)</f>
        <v/>
      </c>
      <c r="K26" s="7">
        <f>IF(F26-D26&lt;0,+(+F26-D26)*-1,0)</f>
        <v/>
      </c>
      <c r="L26" s="22">
        <f>+J26+K26</f>
        <v/>
      </c>
      <c r="M26" s="23" t="n">
        <v>0.25</v>
      </c>
      <c r="N26" s="7">
        <f>IF(M26-E26&gt;0,M26-E26,0)</f>
        <v/>
      </c>
      <c r="O26" s="24">
        <f>+F26-E26</f>
        <v/>
      </c>
      <c r="P26" s="24" t="n">
        <v>0.3333333333333333</v>
      </c>
      <c r="Q26" s="7" t="n">
        <v>0.01041666666666667</v>
      </c>
      <c r="R26" s="24">
        <f>IF(O26-P26-Q26&gt;0,(O26-P26-Q26),0)</f>
        <v/>
      </c>
      <c r="S26" s="25" t="n"/>
    </row>
    <row r="27">
      <c r="A27" s="15" t="inlineStr">
        <is>
          <t>3</t>
        </is>
      </c>
      <c r="B27" s="96" t="n">
        <v>46165</v>
      </c>
      <c r="C27" s="17" t="n">
        <v>0.1666666666666667</v>
      </c>
      <c r="D27" s="17" t="n">
        <v>0.5104166666666666</v>
      </c>
      <c r="E27" s="97" t="n">
        <v>0.112349537037037</v>
      </c>
      <c r="F27" s="98" t="n">
        <v>0.4984953703703704</v>
      </c>
      <c r="G27" s="20">
        <f>IF(C27-E27&gt;0,+C27-E27,0)</f>
        <v/>
      </c>
      <c r="H27" s="7">
        <f>IF(F27-D27&gt;0,+F27-D27,0)</f>
        <v/>
      </c>
      <c r="I27" s="7">
        <f>SUM(G27:H27)</f>
        <v/>
      </c>
      <c r="J27" s="21">
        <f>IF(C27-E27&lt;0,+(+C27-E27)*-1,0)</f>
        <v/>
      </c>
      <c r="K27" s="7">
        <f>IF(F27-D27&lt;0,+(+F27-D27)*-1,0)</f>
        <v/>
      </c>
      <c r="L27" s="22">
        <f>+J27+K27</f>
        <v/>
      </c>
      <c r="M27" s="23" t="n">
        <v>0.25</v>
      </c>
      <c r="N27" s="7">
        <f>IF(M27-E27&gt;0,M27-E27,0)</f>
        <v/>
      </c>
      <c r="O27" s="24">
        <f>+F27-E27</f>
        <v/>
      </c>
      <c r="P27" s="24" t="n">
        <v>0.3333333333333333</v>
      </c>
      <c r="Q27" s="7" t="n">
        <v>0.01041666666666667</v>
      </c>
      <c r="R27" s="24">
        <f>IF(O27-P27-Q27&gt;0,(O27-P27-Q27),0)</f>
        <v/>
      </c>
      <c r="S27" s="25" t="n"/>
    </row>
    <row r="28">
      <c r="A28" s="15" t="inlineStr">
        <is>
          <t>3</t>
        </is>
      </c>
      <c r="B28" s="96" t="n">
        <v>46167</v>
      </c>
      <c r="C28" s="17" t="n">
        <v>0.1666666666666667</v>
      </c>
      <c r="D28" s="17" t="n">
        <v>0.5104166666666666</v>
      </c>
      <c r="E28" s="97" t="n">
        <v>0.1126851851851852</v>
      </c>
      <c r="F28" s="98" t="n">
        <v>0.5133796296296296</v>
      </c>
      <c r="G28" s="20">
        <f>IF(C28-E28&gt;0,+C28-E28,0)</f>
        <v/>
      </c>
      <c r="H28" s="7">
        <f>IF(F28-D28&gt;0,+F28-D28,0)</f>
        <v/>
      </c>
      <c r="I28" s="7">
        <f>SUM(G28:H28)</f>
        <v/>
      </c>
      <c r="J28" s="21">
        <f>IF(C28-E28&lt;0,+(+C28-E28)*-1,0)</f>
        <v/>
      </c>
      <c r="K28" s="7">
        <f>IF(F28-D28&lt;0,+(+F28-D28)*-1,0)</f>
        <v/>
      </c>
      <c r="L28" s="22">
        <f>+J28+K28</f>
        <v/>
      </c>
      <c r="M28" s="23" t="n">
        <v>0.25</v>
      </c>
      <c r="N28" s="7">
        <f>IF(M28-E28&gt;0,M28-E28,0)</f>
        <v/>
      </c>
      <c r="O28" s="24">
        <f>+F28-E28</f>
        <v/>
      </c>
      <c r="P28" s="24" t="n">
        <v>0.3333333333333333</v>
      </c>
      <c r="Q28" s="7" t="n">
        <v>0.01041666666666667</v>
      </c>
      <c r="R28" s="24">
        <f>IF(O28-P28-Q28&gt;0,(O28-P28-Q28),0)</f>
        <v/>
      </c>
      <c r="S28" s="25" t="n"/>
    </row>
    <row r="29">
      <c r="A29" s="15" t="inlineStr">
        <is>
          <t>3</t>
        </is>
      </c>
      <c r="B29" s="96" t="n">
        <v>46168</v>
      </c>
      <c r="C29" s="17" t="n">
        <v>0.1666666666666667</v>
      </c>
      <c r="D29" s="17" t="n">
        <v>0.5104166666666666</v>
      </c>
      <c r="E29" s="97" t="n">
        <v>0.1156134259259259</v>
      </c>
      <c r="F29" s="98" t="n">
        <v>0.4998495370370371</v>
      </c>
      <c r="G29" s="20">
        <f>IF(C29-E29&gt;0,+C29-E29,0)</f>
        <v/>
      </c>
      <c r="H29" s="7">
        <f>IF(F29-D29&gt;0,+F29-D29,0)</f>
        <v/>
      </c>
      <c r="I29" s="7">
        <f>SUM(G29:H29)</f>
        <v/>
      </c>
      <c r="J29" s="21">
        <f>IF(C29-E29&lt;0,+(+C29-E29)*-1,0)</f>
        <v/>
      </c>
      <c r="K29" s="7">
        <f>IF(F29-D29&lt;0,+(+F29-D29)*-1,0)</f>
        <v/>
      </c>
      <c r="L29" s="22">
        <f>+J29+K29</f>
        <v/>
      </c>
      <c r="M29" s="23" t="n">
        <v>0.25</v>
      </c>
      <c r="N29" s="7">
        <f>IF(M29-E29&gt;0,M29-E29,0)</f>
        <v/>
      </c>
      <c r="O29" s="24">
        <f>+F29-E29</f>
        <v/>
      </c>
      <c r="P29" s="24" t="n">
        <v>0.3333333333333333</v>
      </c>
      <c r="Q29" s="7" t="n">
        <v>0.01041666666666667</v>
      </c>
      <c r="R29" s="24">
        <f>IF(O29-P29-Q29&gt;0,(O29-P29-Q29),0)</f>
        <v/>
      </c>
      <c r="S29" s="25" t="n"/>
    </row>
    <row r="30">
      <c r="A30" s="15" t="inlineStr">
        <is>
          <t>3</t>
        </is>
      </c>
      <c r="B30" s="96" t="n">
        <v>46169</v>
      </c>
      <c r="C30" s="17" t="n">
        <v>0.1666666666666667</v>
      </c>
      <c r="D30" s="17" t="n">
        <v>0.5104166666666666</v>
      </c>
      <c r="E30" s="97" t="n">
        <v>0.1143171296296296</v>
      </c>
      <c r="F30" s="98" t="n">
        <v>0.5088657407407408</v>
      </c>
      <c r="G30" s="20">
        <f>IF(C30-E30&gt;0,+C30-E30,0)</f>
        <v/>
      </c>
      <c r="H30" s="7">
        <f>IF(F30-D30&gt;0,+F30-D30,0)</f>
        <v/>
      </c>
      <c r="I30" s="7">
        <f>SUM(G30:H30)</f>
        <v/>
      </c>
      <c r="J30" s="21">
        <f>IF(C30-E30&lt;0,+(+C30-E30)*-1,0)</f>
        <v/>
      </c>
      <c r="K30" s="7">
        <f>IF(F30-D30&lt;0,+(+F30-D30)*-1,0)</f>
        <v/>
      </c>
      <c r="L30" s="22">
        <f>+J30+K30</f>
        <v/>
      </c>
      <c r="M30" s="23" t="n">
        <v>0.25</v>
      </c>
      <c r="N30" s="7">
        <f>IF(M30-E30&gt;0,M30-E30,0)</f>
        <v/>
      </c>
      <c r="O30" s="24">
        <f>+F30-E30</f>
        <v/>
      </c>
      <c r="P30" s="24" t="n">
        <v>0.3333333333333333</v>
      </c>
      <c r="Q30" s="7" t="n">
        <v>0.01041666666666667</v>
      </c>
      <c r="R30" s="24">
        <f>IF(O30-P30-Q30&gt;0,(O30-P30-Q30),0)</f>
        <v/>
      </c>
      <c r="S30" s="25" t="n"/>
    </row>
    <row r="31">
      <c r="A31" s="26" t="inlineStr">
        <is>
          <t>3</t>
        </is>
      </c>
      <c r="B31" s="99" t="n">
        <v>46170</v>
      </c>
      <c r="C31" s="28" t="n">
        <v>0.1666666666666667</v>
      </c>
      <c r="D31" s="28" t="n">
        <v>0.5104166666666666</v>
      </c>
      <c r="E31" s="100" t="n">
        <v>0.1141898148148148</v>
      </c>
      <c r="F31" s="101" t="n">
        <v>0.5103935185185186</v>
      </c>
      <c r="G31" s="31">
        <f>IF(C31-E31&gt;0,+C31-E31,0)</f>
        <v/>
      </c>
      <c r="H31" s="32">
        <f>IF(F31-D31&gt;0,+F31-D31,0)</f>
        <v/>
      </c>
      <c r="I31" s="32">
        <f>SUM(G31:H31)</f>
        <v/>
      </c>
      <c r="J31" s="33">
        <f>IF(C31-E31&lt;0,+(+C31-E31)*-1,0)</f>
        <v/>
      </c>
      <c r="K31" s="32">
        <f>IF(F31-D31&lt;0,+(+F31-D31)*-1,0)</f>
        <v/>
      </c>
      <c r="L31" s="34">
        <f>+J31+K31</f>
        <v/>
      </c>
      <c r="M31" s="35" t="n"/>
      <c r="N31" s="32" t="n"/>
      <c r="O31" s="36">
        <f>+F31-E31</f>
        <v/>
      </c>
      <c r="P31" s="36" t="n"/>
      <c r="Q31" s="32" t="n"/>
      <c r="R31" s="36" t="n"/>
      <c r="S31" s="36">
        <f>+F31-E31</f>
        <v/>
      </c>
      <c r="Y31" s="8" t="n"/>
    </row>
    <row r="32">
      <c r="A32" s="15" t="inlineStr">
        <is>
          <t>3</t>
        </is>
      </c>
      <c r="B32" s="96" t="n">
        <v>46171</v>
      </c>
      <c r="C32" s="17" t="n">
        <v>0.1666666666666667</v>
      </c>
      <c r="D32" s="17" t="n">
        <v>0.5104166666666666</v>
      </c>
      <c r="E32" s="97" t="n">
        <v>0.1126388888888889</v>
      </c>
      <c r="F32" s="98" t="n">
        <v>0.5286458333333334</v>
      </c>
      <c r="G32" s="20">
        <f>IF(C32-E32&gt;0,+C32-E32,0)</f>
        <v/>
      </c>
      <c r="H32" s="7">
        <f>IF(F32-D32&gt;0,+F32-D32,0)</f>
        <v/>
      </c>
      <c r="I32" s="7">
        <f>SUM(G32:H32)</f>
        <v/>
      </c>
      <c r="J32" s="21">
        <f>IF(C32-E32&lt;0,+(+C32-E32)*-1,0)</f>
        <v/>
      </c>
      <c r="K32" s="7">
        <f>IF(F32-D32&lt;0,+(+F32-D32)*-1,0)</f>
        <v/>
      </c>
      <c r="L32" s="22">
        <f>+J32+K32</f>
        <v/>
      </c>
      <c r="M32" s="23" t="n">
        <v>0.25</v>
      </c>
      <c r="N32" s="7">
        <f>IF(M32-E32&gt;0,M32-E32,0)</f>
        <v/>
      </c>
      <c r="O32" s="24">
        <f>+F32-E32</f>
        <v/>
      </c>
      <c r="P32" s="24" t="n">
        <v>0.3333333333333333</v>
      </c>
      <c r="Q32" s="7" t="n">
        <v>0.01041666666666667</v>
      </c>
      <c r="R32" s="24">
        <f>IF(O32-P32-Q32&gt;0,(O32-P32-Q32),0)</f>
        <v/>
      </c>
      <c r="S32" s="25" t="n"/>
    </row>
    <row r="33">
      <c r="A33" s="15" t="inlineStr">
        <is>
          <t>3</t>
        </is>
      </c>
      <c r="B33" s="96" t="n">
        <v>46172</v>
      </c>
      <c r="C33" s="17" t="n">
        <v>0.1666666666666667</v>
      </c>
      <c r="D33" s="17" t="n">
        <v>0.5104166666666666</v>
      </c>
      <c r="E33" s="97" t="n">
        <v>0.1129398148148148</v>
      </c>
      <c r="F33" s="98" t="n">
        <v>0.5231828703703704</v>
      </c>
      <c r="G33" s="20">
        <f>IF(C33-E33&gt;0,+C33-E33,0)</f>
        <v/>
      </c>
      <c r="H33" s="7">
        <f>IF(F33-D33&gt;0,+F33-D33,0)</f>
        <v/>
      </c>
      <c r="I33" s="7">
        <f>SUM(G33:H33)</f>
        <v/>
      </c>
      <c r="J33" s="21">
        <f>IF(C33-E33&lt;0,+(+C33-E33)*-1,0)</f>
        <v/>
      </c>
      <c r="K33" s="7">
        <f>IF(F33-D33&lt;0,+(+F33-D33)*-1,0)</f>
        <v/>
      </c>
      <c r="L33" s="22">
        <f>+J33+K33</f>
        <v/>
      </c>
      <c r="M33" s="23" t="n">
        <v>0.25</v>
      </c>
      <c r="N33" s="7">
        <f>IF(M33-E33&gt;0,M33-E33,0)</f>
        <v/>
      </c>
      <c r="O33" s="24">
        <f>+F33-E33</f>
        <v/>
      </c>
      <c r="P33" s="24" t="n">
        <v>0.3333333333333333</v>
      </c>
      <c r="Q33" s="7" t="n">
        <v>0.01041666666666667</v>
      </c>
      <c r="R33" s="24">
        <f>IF(O33-P33-Q33&gt;0,(O33-P33-Q33),0)</f>
        <v/>
      </c>
      <c r="S33" s="25" t="n"/>
    </row>
    <row r="34" ht="18" customFormat="1" customHeight="1" s="47">
      <c r="A34" s="37" t="n"/>
      <c r="B34" s="38" t="n"/>
      <c r="C34" s="39" t="n"/>
      <c r="D34" s="39" t="n"/>
      <c r="E34" s="40" t="n"/>
      <c r="F34" s="41" t="n"/>
      <c r="G34" s="42" t="n"/>
      <c r="H34" s="43" t="n"/>
      <c r="I34" s="43" t="n"/>
      <c r="J34" s="42" t="n"/>
      <c r="K34" s="43" t="n"/>
      <c r="L34" s="44" t="n"/>
      <c r="M34" s="43" t="n"/>
      <c r="N34" s="45">
        <f>SUM(N8:N31)</f>
        <v/>
      </c>
      <c r="O34" s="45" t="n"/>
      <c r="P34" s="46" t="n"/>
      <c r="Q34" s="43" t="n"/>
      <c r="R34" s="45">
        <f>SUM(R8:R31)</f>
        <v/>
      </c>
      <c r="S34" s="45">
        <f>SUM(S8:S31)</f>
        <v/>
      </c>
      <c r="Y34" s="46" t="n"/>
    </row>
    <row r="35" ht="24.75" customHeight="1" thickBot="1">
      <c r="P35" s="8" t="n"/>
    </row>
    <row r="36" ht="51" customHeight="1">
      <c r="A36" s="48" t="n"/>
      <c r="G36" s="77" t="inlineStr">
        <is>
          <t>Tipo horas</t>
        </is>
      </c>
      <c r="H36" s="93" t="n"/>
      <c r="I36" s="49" t="inlineStr">
        <is>
          <t>No horas</t>
        </is>
      </c>
      <c r="J36" s="49" t="inlineStr">
        <is>
          <t>No. minutos</t>
        </is>
      </c>
      <c r="K36" s="50" t="inlineStr">
        <is>
          <t>Valor x  hora  US$</t>
        </is>
      </c>
      <c r="L36" s="49" t="inlineStr">
        <is>
          <t xml:space="preserve"> Recargo</t>
        </is>
      </c>
      <c r="M36" s="51" t="inlineStr">
        <is>
          <t>Valor x  hora con recargo                     US$</t>
        </is>
      </c>
      <c r="N36" s="52" t="inlineStr">
        <is>
          <t>Valor        horas          US$</t>
        </is>
      </c>
      <c r="O36" s="53" t="inlineStr">
        <is>
          <t>Valor        minutos          US$</t>
        </is>
      </c>
      <c r="P36" s="54" t="inlineStr">
        <is>
          <t>Valor total US$</t>
        </is>
      </c>
    </row>
    <row r="37">
      <c r="A37" s="55" t="n"/>
      <c r="G37" s="25" t="inlineStr">
        <is>
          <t>Horas nocturnas</t>
        </is>
      </c>
      <c r="H37" s="25" t="n"/>
      <c r="I37" s="56" t="n">
        <v>42</v>
      </c>
      <c r="J37" s="56" t="n">
        <v>3</v>
      </c>
      <c r="K37" s="57" t="n">
        <v>2.0083</v>
      </c>
      <c r="L37" s="102" t="n">
        <v>0.25</v>
      </c>
      <c r="M37" s="103">
        <f>+K37*L37</f>
        <v/>
      </c>
      <c r="N37" s="60">
        <f>+I37*M37</f>
        <v/>
      </c>
      <c r="O37" s="56">
        <f>(+M37/60)*J37</f>
        <v/>
      </c>
      <c r="P37" s="61">
        <f>+N37+O37</f>
        <v/>
      </c>
    </row>
    <row r="38">
      <c r="A38" s="48" t="n"/>
      <c r="G38" s="25" t="inlineStr">
        <is>
          <t>Horas suplemenarias</t>
        </is>
      </c>
      <c r="H38" s="25" t="n"/>
      <c r="I38" s="56" t="n">
        <v>20</v>
      </c>
      <c r="J38" s="56" t="n">
        <v>37</v>
      </c>
      <c r="K38" s="57" t="n">
        <v>2.0083</v>
      </c>
      <c r="L38" s="102" t="n">
        <v>1.5</v>
      </c>
      <c r="M38" s="103">
        <f>+K38*L38</f>
        <v/>
      </c>
      <c r="N38" s="60">
        <f>+I38*M38</f>
        <v/>
      </c>
      <c r="O38" s="56">
        <f>(+M38/60)*J38</f>
        <v/>
      </c>
      <c r="P38" s="61">
        <f>+N38+O38</f>
        <v/>
      </c>
    </row>
    <row r="39">
      <c r="G39" s="25" t="inlineStr">
        <is>
          <t>Horas extraordinarias</t>
        </is>
      </c>
      <c r="H39" s="25" t="n"/>
      <c r="I39" s="56" t="n">
        <v>73</v>
      </c>
      <c r="J39" s="56" t="n">
        <v>4</v>
      </c>
      <c r="K39" s="57" t="n">
        <v>2.0083</v>
      </c>
      <c r="L39" s="102" t="n">
        <v>2</v>
      </c>
      <c r="M39" s="103">
        <f>+K39*L39</f>
        <v/>
      </c>
      <c r="N39" s="60">
        <f>+I39*M39</f>
        <v/>
      </c>
      <c r="O39" s="56">
        <f>(+M39/60)*J39</f>
        <v/>
      </c>
      <c r="P39" s="61">
        <f>+N39+O39</f>
        <v/>
      </c>
      <c r="R39" s="62" t="n"/>
      <c r="S39" s="62" t="n"/>
    </row>
    <row r="40" ht="13.5" customHeight="1" thickBot="1">
      <c r="L40" s="25" t="inlineStr">
        <is>
          <t>Total</t>
        </is>
      </c>
      <c r="M40" s="63" t="n"/>
      <c r="N40" s="64">
        <f>SUM(N37:N39)</f>
        <v/>
      </c>
      <c r="O40" s="64">
        <f>SUM(O37:O39)</f>
        <v/>
      </c>
      <c r="P40" s="65">
        <f>SUM(P37:P39)</f>
        <v/>
      </c>
      <c r="R40" s="78" t="inlineStr">
        <is>
          <t>FIRMA CONFORME</t>
        </is>
      </c>
      <c r="S40" s="104" t="n"/>
    </row>
    <row r="41">
      <c r="L41" s="105" t="n"/>
      <c r="O41" s="79" t="n"/>
    </row>
    <row r="42"/>
    <row r="43"/>
    <row r="44"/>
    <row r="46">
      <c r="E46" s="106" t="n"/>
    </row>
  </sheetData>
  <mergeCells count="12">
    <mergeCell ref="R40:S40"/>
    <mergeCell ref="D6:D7"/>
    <mergeCell ref="A6:A7"/>
    <mergeCell ref="G6:L6"/>
    <mergeCell ref="G36:H36"/>
    <mergeCell ref="E6:E7"/>
    <mergeCell ref="Q2:Q3"/>
    <mergeCell ref="M6:S6"/>
    <mergeCell ref="O41:P41"/>
    <mergeCell ref="C6:C7"/>
    <mergeCell ref="B6:B7"/>
    <mergeCell ref="F6:F7"/>
  </mergeCells>
  <pageMargins left="0.7086614173228347" right="0" top="0.3543307086614174" bottom="0" header="0" footer="0"/>
  <pageSetup orientation="landscape" scale="49" horizontalDpi="4294967293" verticalDpi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2014-07-31T16:03:43Z</dcterms:created>
  <dcterms:modified xsi:type="dcterms:W3CDTF">2026-07-05T15:21:36Z</dcterms:modified>
  <cp:lastModifiedBy>PAN CASERO</cp:lastModifiedBy>
  <cp:lastPrinted>2026-06-01T15:19:24Z</cp:lastPrinted>
</cp:coreProperties>
</file>