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E0AD0B2E-7259-452D-B04E-7A94484AD27F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" l="1"/>
  <c r="Q33" i="2" s="1"/>
  <c r="N33" i="2"/>
  <c r="L33" i="2"/>
  <c r="K33" i="2"/>
  <c r="J33" i="2"/>
  <c r="H33" i="2"/>
  <c r="I33" i="2" s="1"/>
  <c r="G33" i="2"/>
  <c r="O32" i="2"/>
  <c r="Q32" i="2" s="1"/>
  <c r="N32" i="2"/>
  <c r="K32" i="2"/>
  <c r="J32" i="2"/>
  <c r="L32" i="2" s="1"/>
  <c r="I32" i="2"/>
  <c r="H32" i="2"/>
  <c r="G32" i="2"/>
  <c r="O26" i="2"/>
  <c r="Q26" i="2" s="1"/>
  <c r="N26" i="2"/>
  <c r="K26" i="2"/>
  <c r="L26" i="2" s="1"/>
  <c r="J26" i="2"/>
  <c r="H26" i="2"/>
  <c r="G26" i="2"/>
  <c r="R31" i="2"/>
  <c r="O31" i="2"/>
  <c r="K31" i="2"/>
  <c r="J31" i="2"/>
  <c r="H31" i="2"/>
  <c r="G31" i="2"/>
  <c r="O29" i="2"/>
  <c r="Q29" i="2" s="1"/>
  <c r="N29" i="2"/>
  <c r="K29" i="2"/>
  <c r="J29" i="2"/>
  <c r="H29" i="2"/>
  <c r="G29" i="2"/>
  <c r="O28" i="2"/>
  <c r="Q28" i="2" s="1"/>
  <c r="N28" i="2"/>
  <c r="K28" i="2"/>
  <c r="J28" i="2"/>
  <c r="H28" i="2"/>
  <c r="G28" i="2"/>
  <c r="O27" i="2"/>
  <c r="Q27" i="2" s="1"/>
  <c r="N27" i="2"/>
  <c r="K27" i="2"/>
  <c r="J27" i="2"/>
  <c r="H27" i="2"/>
  <c r="G27" i="2"/>
  <c r="O30" i="2"/>
  <c r="Q30" i="2" s="1"/>
  <c r="N30" i="2"/>
  <c r="K30" i="2"/>
  <c r="J30" i="2"/>
  <c r="H30" i="2"/>
  <c r="G30" i="2"/>
  <c r="O15" i="2"/>
  <c r="Q15" i="2" s="1"/>
  <c r="N15" i="2"/>
  <c r="K15" i="2"/>
  <c r="J15" i="2"/>
  <c r="H15" i="2"/>
  <c r="G15" i="2"/>
  <c r="O14" i="2"/>
  <c r="Q14" i="2" s="1"/>
  <c r="N14" i="2"/>
  <c r="K14" i="2"/>
  <c r="J14" i="2"/>
  <c r="H14" i="2"/>
  <c r="G14" i="2"/>
  <c r="O24" i="2"/>
  <c r="Q24" i="2" s="1"/>
  <c r="N24" i="2"/>
  <c r="K24" i="2"/>
  <c r="J24" i="2"/>
  <c r="H24" i="2"/>
  <c r="G24" i="2"/>
  <c r="O23" i="2"/>
  <c r="Q23" i="2" s="1"/>
  <c r="N23" i="2"/>
  <c r="K23" i="2"/>
  <c r="J23" i="2"/>
  <c r="H23" i="2"/>
  <c r="G23" i="2"/>
  <c r="O22" i="2"/>
  <c r="Q22" i="2" s="1"/>
  <c r="N22" i="2"/>
  <c r="K22" i="2"/>
  <c r="J22" i="2"/>
  <c r="H22" i="2"/>
  <c r="G22" i="2"/>
  <c r="O21" i="2"/>
  <c r="Q21" i="2" s="1"/>
  <c r="N21" i="2"/>
  <c r="K21" i="2"/>
  <c r="J21" i="2"/>
  <c r="H21" i="2"/>
  <c r="G21" i="2"/>
  <c r="O20" i="2"/>
  <c r="Q20" i="2" s="1"/>
  <c r="N20" i="2"/>
  <c r="K20" i="2"/>
  <c r="J20" i="2"/>
  <c r="H20" i="2"/>
  <c r="G20" i="2"/>
  <c r="O18" i="2"/>
  <c r="Q18" i="2" s="1"/>
  <c r="N18" i="2"/>
  <c r="K18" i="2"/>
  <c r="J18" i="2"/>
  <c r="H18" i="2"/>
  <c r="G18" i="2"/>
  <c r="O17" i="2"/>
  <c r="Q17" i="2" s="1"/>
  <c r="N17" i="2"/>
  <c r="K17" i="2"/>
  <c r="J17" i="2"/>
  <c r="H17" i="2"/>
  <c r="G17" i="2"/>
  <c r="O16" i="2"/>
  <c r="Q16" i="2" s="1"/>
  <c r="N16" i="2"/>
  <c r="K16" i="2"/>
  <c r="J16" i="2"/>
  <c r="H16" i="2"/>
  <c r="G16" i="2"/>
  <c r="O12" i="2"/>
  <c r="Q12" i="2" s="1"/>
  <c r="N12" i="2"/>
  <c r="K12" i="2"/>
  <c r="J12" i="2"/>
  <c r="H12" i="2"/>
  <c r="G12" i="2"/>
  <c r="O11" i="2"/>
  <c r="Q11" i="2" s="1"/>
  <c r="N11" i="2"/>
  <c r="K11" i="2"/>
  <c r="J11" i="2"/>
  <c r="H11" i="2"/>
  <c r="G11" i="2"/>
  <c r="R25" i="2"/>
  <c r="O25" i="2"/>
  <c r="K25" i="2"/>
  <c r="J25" i="2"/>
  <c r="H25" i="2"/>
  <c r="G25" i="2"/>
  <c r="R19" i="2"/>
  <c r="O19" i="2"/>
  <c r="K19" i="2"/>
  <c r="J19" i="2"/>
  <c r="H19" i="2"/>
  <c r="G19" i="2"/>
  <c r="O10" i="2"/>
  <c r="Q10" i="2" s="1"/>
  <c r="N10" i="2"/>
  <c r="K10" i="2"/>
  <c r="J10" i="2"/>
  <c r="H10" i="2"/>
  <c r="G10" i="2"/>
  <c r="O9" i="2"/>
  <c r="Q9" i="2" s="1"/>
  <c r="N9" i="2"/>
  <c r="K9" i="2"/>
  <c r="J9" i="2"/>
  <c r="H9" i="2"/>
  <c r="G9" i="2"/>
  <c r="O8" i="2"/>
  <c r="Q8" i="2" s="1"/>
  <c r="N8" i="2"/>
  <c r="K8" i="2"/>
  <c r="J8" i="2"/>
  <c r="H8" i="2"/>
  <c r="G8" i="2"/>
  <c r="R34" i="2" l="1"/>
  <c r="I26" i="2"/>
  <c r="Q34" i="2"/>
  <c r="I31" i="2"/>
  <c r="L30" i="2"/>
  <c r="L27" i="2"/>
  <c r="L29" i="2"/>
  <c r="L31" i="2"/>
  <c r="I29" i="2"/>
  <c r="L28" i="2"/>
  <c r="I28" i="2"/>
  <c r="I27" i="2"/>
  <c r="I30" i="2"/>
  <c r="I24" i="2"/>
  <c r="L15" i="2"/>
  <c r="I14" i="2"/>
  <c r="L11" i="2"/>
  <c r="I15" i="2"/>
  <c r="I11" i="2"/>
  <c r="I21" i="2"/>
  <c r="I17" i="2"/>
  <c r="L18" i="2"/>
  <c r="L14" i="2"/>
  <c r="I23" i="2"/>
  <c r="L20" i="2"/>
  <c r="L12" i="2"/>
  <c r="I20" i="2"/>
  <c r="L24" i="2"/>
  <c r="L17" i="2"/>
  <c r="I22" i="2"/>
  <c r="L25" i="2"/>
  <c r="I25" i="2"/>
  <c r="L23" i="2"/>
  <c r="L22" i="2"/>
  <c r="L21" i="2"/>
  <c r="I18" i="2"/>
  <c r="L16" i="2"/>
  <c r="I16" i="2"/>
  <c r="I12" i="2"/>
  <c r="I19" i="2"/>
  <c r="L19" i="2"/>
  <c r="I10" i="2"/>
  <c r="L8" i="2"/>
  <c r="L10" i="2"/>
  <c r="I9" i="2"/>
  <c r="L9" i="2"/>
  <c r="I8" i="2"/>
  <c r="M42" i="2" l="1"/>
  <c r="M41" i="2"/>
  <c r="O41" i="2" s="1"/>
  <c r="M40" i="2"/>
  <c r="N42" i="2" l="1"/>
  <c r="O42" i="2"/>
  <c r="N40" i="2"/>
  <c r="O40" i="2"/>
  <c r="N41" i="2"/>
  <c r="P41" i="2" s="1"/>
  <c r="P42" i="2" l="1"/>
  <c r="O43" i="2"/>
  <c r="P40" i="2"/>
  <c r="P43" i="2" s="1"/>
  <c r="N43" i="2"/>
</calcChain>
</file>

<file path=xl/sharedStrings.xml><?xml version="1.0" encoding="utf-8"?>
<sst xmlns="http://schemas.openxmlformats.org/spreadsheetml/2006/main" count="138" uniqueCount="74">
  <si>
    <t>INES OÑA</t>
  </si>
  <si>
    <t>Entrada</t>
  </si>
  <si>
    <t>Salida</t>
  </si>
  <si>
    <t>HORARIO</t>
  </si>
  <si>
    <t>ENTRADA</t>
  </si>
  <si>
    <t>SALIDA</t>
  </si>
  <si>
    <t>Emp No.</t>
  </si>
  <si>
    <t>Fecha</t>
  </si>
  <si>
    <t>Marco Entrada</t>
  </si>
  <si>
    <t>Marco        Salida</t>
  </si>
  <si>
    <t>CONTROL ASISTENCIA</t>
  </si>
  <si>
    <t>Horas nocturnas, suplementarias y extraordinarias</t>
  </si>
  <si>
    <t>TOTAL</t>
  </si>
  <si>
    <t>Atraso</t>
  </si>
  <si>
    <t>Salida Temprano</t>
  </si>
  <si>
    <t>Horario nocturno  base       mañana</t>
  </si>
  <si>
    <t xml:space="preserve">Horas Nocturnas </t>
  </si>
  <si>
    <t>Horas Suplement Base</t>
  </si>
  <si>
    <t>Horario normal</t>
  </si>
  <si>
    <t xml:space="preserve">Horas Suplementarias </t>
  </si>
  <si>
    <t xml:space="preserve">Horas Extraordinarias 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</si>
  <si>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</si>
  <si>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</si>
  <si>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</si>
  <si>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</si>
  <si>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</si>
  <si>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</si>
  <si>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</si>
  <si>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</si>
  <si>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</si>
  <si>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</si>
  <si>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</si>
  <si>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</si>
  <si>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 xml:space="preserve">     _____________________________</t>
  </si>
  <si>
    <t>Total</t>
  </si>
  <si>
    <t>FIRMA CONFORME</t>
  </si>
  <si>
    <t>AC-No.</t>
  </si>
  <si>
    <t>IMSS/CURP</t>
  </si>
  <si>
    <t>Nombre</t>
  </si>
  <si>
    <t>Fecha y hora</t>
  </si>
  <si>
    <t>ZAIDA DIDONATO</t>
  </si>
  <si>
    <t>9</t>
  </si>
  <si>
    <t>01/06/2026 06:16:32</t>
  </si>
  <si>
    <t>01/06/2026 15:18:24</t>
  </si>
  <si>
    <t>02/06/2026 06:19:14</t>
  </si>
  <si>
    <t>02/06/2026 14:31:44</t>
  </si>
  <si>
    <t>03/06/2026 06:12:58</t>
  </si>
  <si>
    <t>03/06/2026 14:35:55</t>
  </si>
  <si>
    <t>04/06/2026 06:17:45</t>
  </si>
  <si>
    <t>04/06/2026 15:47:13</t>
  </si>
  <si>
    <t>05/06/2026 06:14:27</t>
  </si>
  <si>
    <t>05/06/2026 15:28:04</t>
  </si>
  <si>
    <t>06/06/2026 06:23:24</t>
  </si>
  <si>
    <t>06/06/2026 14:09:02</t>
  </si>
  <si>
    <t>08/06/2026 06:18:46</t>
  </si>
  <si>
    <t>08/06/2026 15:15:13</t>
  </si>
  <si>
    <t>09/06/2026 06:17:55</t>
  </si>
  <si>
    <t>09/06/2026 15:31:38</t>
  </si>
  <si>
    <t>10/06/2026 06:16:42</t>
  </si>
  <si>
    <t>10/06/2026 14:37:06</t>
  </si>
  <si>
    <t>11/06/2026 06:16:58</t>
  </si>
  <si>
    <t>11/06/2026 15:40:22</t>
  </si>
  <si>
    <t>12/06/2026 06:18:24</t>
  </si>
  <si>
    <t>12/06/2026 15:51:12</t>
  </si>
  <si>
    <t>13/06/2026 06:18:23</t>
  </si>
  <si>
    <t>13/06/2026 14:19:16</t>
  </si>
  <si>
    <t>15/06/2026 06:14:54</t>
  </si>
  <si>
    <t>15/06/2026 14:37:08</t>
  </si>
  <si>
    <t>16/06/2026 06:17:01</t>
  </si>
  <si>
    <t>16/06/2026 15:40:51</t>
  </si>
  <si>
    <t>17/06/2026 06:18:16</t>
  </si>
  <si>
    <t>17/06/2026 15:33:19</t>
  </si>
  <si>
    <t>18/06/2026 06:19:07</t>
  </si>
  <si>
    <t>REPORTES DE HORAS RELOJ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</si>
</sst>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5" formatCode="_-* #,##0.0000_-;\-* #,##0.0000_-;_-* &quot;-&quot;??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Segoe UI"/>
      <family val="2"/>
    </font>
    <font>
      <sz val="8"/>
      <name val="Segoe UI"/>
      <family val="2"/>
    </font>
    <font>
      <sz val="8"/>
      <name val="Tahoma"/>
      <family val="2"/>
    </font>
    <font>
      <sz val="8"/>
      <name val="Arial"/>
      <family val="2"/>
    </font>
    <font>
      <sz val="10"/>
      <name val="Malgun Gothic"/>
      <family val="2"/>
    </font>
    <font>
      <i/>
      <sz val="10"/>
      <name val="Malgun Gothic"/>
      <family val="2"/>
    </font>
    <font>
      <sz val="10"/>
      <color theme="0"/>
      <name val="Malgun Gothic"/>
      <family val="2"/>
    </font>
    <font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49" fontId="5" fillId="4" borderId="0" xfId="0" applyNumberFormat="1" applyFont="1" applyFill="1" applyAlignment="1">
      <alignment horizontal="left" vertical="center"/>
    </xf>
    <xf numFmtId="22" fontId="6" fillId="0" borderId="0" xfId="0" applyNumberFormat="1" applyFont="1" applyAlignment="1">
      <alignment horizontal="left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21" fontId="7" fillId="2" borderId="0" xfId="0" applyNumberFormat="1" applyFont="1" applyFill="1"/>
    <xf numFmtId="21" fontId="7" fillId="2" borderId="2" xfId="0" applyNumberFormat="1" applyFont="1" applyFill="1" applyBorder="1" applyAlignment="1">
      <alignment horizontal="center"/>
    </xf>
    <xf numFmtId="0" fontId="8" fillId="2" borderId="0" xfId="0" applyFont="1" applyFill="1"/>
    <xf numFmtId="164" fontId="7" fillId="2" borderId="0" xfId="0" applyNumberFormat="1" applyFont="1" applyFill="1"/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14" fontId="7" fillId="2" borderId="2" xfId="1" applyNumberFormat="1" applyFont="1" applyFill="1" applyBorder="1" applyAlignment="1">
      <alignment horizontal="left"/>
    </xf>
    <xf numFmtId="21" fontId="7" fillId="2" borderId="2" xfId="1" applyNumberFormat="1" applyFont="1" applyFill="1" applyBorder="1"/>
    <xf numFmtId="21" fontId="7" fillId="2" borderId="2" xfId="1" applyNumberFormat="1" applyFont="1" applyFill="1" applyBorder="1" applyAlignment="1">
      <alignment horizontal="center"/>
    </xf>
    <xf numFmtId="20" fontId="7" fillId="0" borderId="2" xfId="0" applyNumberFormat="1" applyFont="1" applyBorder="1" applyAlignment="1">
      <alignment horizontal="center"/>
    </xf>
    <xf numFmtId="21" fontId="7" fillId="2" borderId="1" xfId="0" applyNumberFormat="1" applyFont="1" applyFill="1" applyBorder="1" applyAlignment="1">
      <alignment horizontal="right"/>
    </xf>
    <xf numFmtId="21" fontId="7" fillId="2" borderId="2" xfId="0" applyNumberFormat="1" applyFont="1" applyFill="1" applyBorder="1" applyAlignment="1">
      <alignment horizontal="right"/>
    </xf>
    <xf numFmtId="20" fontId="7" fillId="2" borderId="12" xfId="0" applyNumberFormat="1" applyFont="1" applyFill="1" applyBorder="1" applyAlignment="1">
      <alignment horizontal="right"/>
    </xf>
    <xf numFmtId="21" fontId="7" fillId="2" borderId="1" xfId="0" applyNumberFormat="1" applyFont="1" applyFill="1" applyBorder="1" applyAlignment="1">
      <alignment horizontal="center"/>
    </xf>
    <xf numFmtId="21" fontId="7" fillId="2" borderId="2" xfId="0" applyNumberFormat="1" applyFont="1" applyFill="1" applyBorder="1"/>
    <xf numFmtId="0" fontId="7" fillId="2" borderId="2" xfId="0" applyFont="1" applyFill="1" applyBorder="1"/>
    <xf numFmtId="0" fontId="7" fillId="3" borderId="2" xfId="1" applyFont="1" applyFill="1" applyBorder="1" applyAlignment="1">
      <alignment horizontal="center"/>
    </xf>
    <xf numFmtId="14" fontId="7" fillId="3" borderId="2" xfId="1" applyNumberFormat="1" applyFont="1" applyFill="1" applyBorder="1" applyAlignment="1">
      <alignment horizontal="left"/>
    </xf>
    <xf numFmtId="21" fontId="7" fillId="3" borderId="2" xfId="1" applyNumberFormat="1" applyFont="1" applyFill="1" applyBorder="1"/>
    <xf numFmtId="21" fontId="7" fillId="3" borderId="2" xfId="1" applyNumberFormat="1" applyFont="1" applyFill="1" applyBorder="1" applyAlignment="1">
      <alignment horizontal="center"/>
    </xf>
    <xf numFmtId="20" fontId="7" fillId="3" borderId="2" xfId="0" applyNumberFormat="1" applyFont="1" applyFill="1" applyBorder="1" applyAlignment="1">
      <alignment horizontal="center"/>
    </xf>
    <xf numFmtId="21" fontId="7" fillId="3" borderId="1" xfId="0" applyNumberFormat="1" applyFont="1" applyFill="1" applyBorder="1" applyAlignment="1">
      <alignment horizontal="right"/>
    </xf>
    <xf numFmtId="21" fontId="7" fillId="3" borderId="2" xfId="0" applyNumberFormat="1" applyFont="1" applyFill="1" applyBorder="1" applyAlignment="1">
      <alignment horizontal="right"/>
    </xf>
    <xf numFmtId="20" fontId="7" fillId="3" borderId="12" xfId="0" applyNumberFormat="1" applyFont="1" applyFill="1" applyBorder="1" applyAlignment="1">
      <alignment horizontal="right"/>
    </xf>
    <xf numFmtId="21" fontId="7" fillId="3" borderId="1" xfId="0" applyNumberFormat="1" applyFont="1" applyFill="1" applyBorder="1" applyAlignment="1">
      <alignment horizontal="center"/>
    </xf>
    <xf numFmtId="21" fontId="7" fillId="3" borderId="2" xfId="0" applyNumberFormat="1" applyFont="1" applyFill="1" applyBorder="1" applyAlignment="1">
      <alignment horizontal="center"/>
    </xf>
    <xf numFmtId="21" fontId="7" fillId="3" borderId="2" xfId="0" applyNumberFormat="1" applyFont="1" applyFill="1" applyBorder="1"/>
    <xf numFmtId="14" fontId="7" fillId="2" borderId="0" xfId="1" applyNumberFormat="1" applyFont="1" applyFill="1" applyAlignment="1">
      <alignment horizontal="left"/>
    </xf>
    <xf numFmtId="46" fontId="7" fillId="2" borderId="13" xfId="0" applyNumberFormat="1" applyFont="1" applyFill="1" applyBorder="1" applyAlignment="1">
      <alignment horizontal="right"/>
    </xf>
    <xf numFmtId="46" fontId="7" fillId="2" borderId="14" xfId="0" applyNumberFormat="1" applyFont="1" applyFill="1" applyBorder="1" applyAlignment="1">
      <alignment horizontal="right"/>
    </xf>
    <xf numFmtId="46" fontId="7" fillId="2" borderId="15" xfId="0" applyNumberFormat="1" applyFont="1" applyFill="1" applyBorder="1" applyAlignment="1">
      <alignment horizontal="right"/>
    </xf>
    <xf numFmtId="0" fontId="7" fillId="2" borderId="1" xfId="0" applyFont="1" applyFill="1" applyBorder="1"/>
    <xf numFmtId="46" fontId="7" fillId="2" borderId="2" xfId="0" applyNumberFormat="1" applyFont="1" applyFill="1" applyBorder="1" applyAlignment="1">
      <alignment horizontal="center" vertical="center"/>
    </xf>
    <xf numFmtId="46" fontId="7" fillId="2" borderId="2" xfId="0" applyNumberFormat="1" applyFont="1" applyFill="1" applyBorder="1" applyAlignment="1">
      <alignment horizontal="center"/>
    </xf>
    <xf numFmtId="46" fontId="7" fillId="2" borderId="0" xfId="0" applyNumberFormat="1" applyFont="1" applyFill="1" applyAlignment="1">
      <alignment horizontal="right"/>
    </xf>
    <xf numFmtId="46" fontId="7" fillId="2" borderId="0" xfId="0" applyNumberFormat="1" applyFont="1" applyFill="1" applyAlignment="1">
      <alignment horizontal="center" vertical="center"/>
    </xf>
    <xf numFmtId="46" fontId="7" fillId="2" borderId="0" xfId="0" applyNumberFormat="1" applyFont="1" applyFill="1" applyAlignment="1">
      <alignment horizontal="center"/>
    </xf>
    <xf numFmtId="46" fontId="7" fillId="2" borderId="0" xfId="0" applyNumberFormat="1" applyFont="1" applyFill="1" applyAlignment="1">
      <alignment horizontal="right" vertical="center"/>
    </xf>
    <xf numFmtId="46" fontId="7" fillId="2" borderId="0" xfId="0" applyNumberFormat="1" applyFont="1" applyFill="1"/>
    <xf numFmtId="49" fontId="7" fillId="2" borderId="0" xfId="0" applyNumberFormat="1" applyFont="1" applyFill="1"/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2" fontId="7" fillId="2" borderId="2" xfId="0" applyNumberFormat="1" applyFont="1" applyFill="1" applyBorder="1"/>
    <xf numFmtId="43" fontId="7" fillId="2" borderId="2" xfId="2" applyFont="1" applyFill="1" applyBorder="1"/>
    <xf numFmtId="43" fontId="7" fillId="2" borderId="3" xfId="0" applyNumberFormat="1" applyFont="1" applyFill="1" applyBorder="1"/>
    <xf numFmtId="2" fontId="7" fillId="2" borderId="11" xfId="2" applyNumberFormat="1" applyFont="1" applyFill="1" applyBorder="1"/>
    <xf numFmtId="2" fontId="7" fillId="2" borderId="12" xfId="0" applyNumberFormat="1" applyFont="1" applyFill="1" applyBorder="1"/>
    <xf numFmtId="0" fontId="7" fillId="2" borderId="3" xfId="0" applyFont="1" applyFill="1" applyBorder="1"/>
    <xf numFmtId="2" fontId="7" fillId="2" borderId="19" xfId="0" applyNumberFormat="1" applyFont="1" applyFill="1" applyBorder="1"/>
    <xf numFmtId="2" fontId="7" fillId="2" borderId="20" xfId="0" applyNumberFormat="1" applyFont="1" applyFill="1" applyBorder="1"/>
    <xf numFmtId="165" fontId="7" fillId="2" borderId="2" xfId="2" applyNumberFormat="1" applyFont="1" applyFill="1" applyBorder="1"/>
    <xf numFmtId="0" fontId="9" fillId="2" borderId="0" xfId="0" applyFont="1" applyFill="1" applyAlignment="1">
      <alignment horizontal="center"/>
    </xf>
    <xf numFmtId="21" fontId="9" fillId="2" borderId="0" xfId="0" applyNumberFormat="1" applyFont="1" applyFill="1" applyAlignment="1">
      <alignment horizontal="center" vertical="center"/>
    </xf>
    <xf numFmtId="21" fontId="9" fillId="2" borderId="0" xfId="0" applyNumberFormat="1" applyFont="1" applyFill="1" applyAlignment="1">
      <alignment horizontal="center"/>
    </xf>
    <xf numFmtId="49" fontId="10" fillId="4" borderId="21" xfId="0" applyNumberFormat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6"/>
  <sheetViews>
    <sheetView workbookViewId="0">
      <selection activeCell="E12" sqref="E12"/>
    </sheetView>
  </sheetViews>
  <sheetFormatPr baseColWidth="10" defaultRowHeight="10.5" x14ac:dyDescent="0.15"/>
  <cols>
    <col min="1" max="1" width="9.28515625" style="2" customWidth="1"/>
    <col min="2" max="2" width="13.85546875" style="2" customWidth="1"/>
    <col min="3" max="3" width="19.28515625" style="2" customWidth="1"/>
    <col min="4" max="4" width="20.85546875" style="2" customWidth="1"/>
    <col min="5" max="234" width="11.42578125" style="2"/>
    <col min="235" max="235" width="20" style="2" customWidth="1"/>
    <col min="236" max="490" width="11.42578125" style="2"/>
    <col min="491" max="491" width="20" style="2" customWidth="1"/>
    <col min="492" max="746" width="11.42578125" style="2"/>
    <col min="747" max="747" width="20" style="2" customWidth="1"/>
    <col min="748" max="1002" width="11.42578125" style="2"/>
    <col min="1003" max="1003" width="20" style="2" customWidth="1"/>
    <col min="1004" max="1258" width="11.42578125" style="2"/>
    <col min="1259" max="1259" width="20" style="2" customWidth="1"/>
    <col min="1260" max="1514" width="11.42578125" style="2"/>
    <col min="1515" max="1515" width="20" style="2" customWidth="1"/>
    <col min="1516" max="1770" width="11.42578125" style="2"/>
    <col min="1771" max="1771" width="20" style="2" customWidth="1"/>
    <col min="1772" max="2026" width="11.42578125" style="2"/>
    <col min="2027" max="2027" width="20" style="2" customWidth="1"/>
    <col min="2028" max="2282" width="11.42578125" style="2"/>
    <col min="2283" max="2283" width="20" style="2" customWidth="1"/>
    <col min="2284" max="2538" width="11.42578125" style="2"/>
    <col min="2539" max="2539" width="20" style="2" customWidth="1"/>
    <col min="2540" max="2794" width="11.42578125" style="2"/>
    <col min="2795" max="2795" width="20" style="2" customWidth="1"/>
    <col min="2796" max="3050" width="11.42578125" style="2"/>
    <col min="3051" max="3051" width="20" style="2" customWidth="1"/>
    <col min="3052" max="3306" width="11.42578125" style="2"/>
    <col min="3307" max="3307" width="20" style="2" customWidth="1"/>
    <col min="3308" max="3562" width="11.42578125" style="2"/>
    <col min="3563" max="3563" width="20" style="2" customWidth="1"/>
    <col min="3564" max="3818" width="11.42578125" style="2"/>
    <col min="3819" max="3819" width="20" style="2" customWidth="1"/>
    <col min="3820" max="4074" width="11.42578125" style="2"/>
    <col min="4075" max="4075" width="20" style="2" customWidth="1"/>
    <col min="4076" max="4330" width="11.42578125" style="2"/>
    <col min="4331" max="4331" width="20" style="2" customWidth="1"/>
    <col min="4332" max="4586" width="11.42578125" style="2"/>
    <col min="4587" max="4587" width="20" style="2" customWidth="1"/>
    <col min="4588" max="4842" width="11.42578125" style="2"/>
    <col min="4843" max="4843" width="20" style="2" customWidth="1"/>
    <col min="4844" max="5098" width="11.42578125" style="2"/>
    <col min="5099" max="5099" width="20" style="2" customWidth="1"/>
    <col min="5100" max="5354" width="11.42578125" style="2"/>
    <col min="5355" max="5355" width="20" style="2" customWidth="1"/>
    <col min="5356" max="5610" width="11.42578125" style="2"/>
    <col min="5611" max="5611" width="20" style="2" customWidth="1"/>
    <col min="5612" max="5866" width="11.42578125" style="2"/>
    <col min="5867" max="5867" width="20" style="2" customWidth="1"/>
    <col min="5868" max="6122" width="11.42578125" style="2"/>
    <col min="6123" max="6123" width="20" style="2" customWidth="1"/>
    <col min="6124" max="6378" width="11.42578125" style="2"/>
    <col min="6379" max="6379" width="20" style="2" customWidth="1"/>
    <col min="6380" max="6634" width="11.42578125" style="2"/>
    <col min="6635" max="6635" width="20" style="2" customWidth="1"/>
    <col min="6636" max="6890" width="11.42578125" style="2"/>
    <col min="6891" max="6891" width="20" style="2" customWidth="1"/>
    <col min="6892" max="7146" width="11.42578125" style="2"/>
    <col min="7147" max="7147" width="20" style="2" customWidth="1"/>
    <col min="7148" max="7402" width="11.42578125" style="2"/>
    <col min="7403" max="7403" width="20" style="2" customWidth="1"/>
    <col min="7404" max="7658" width="11.42578125" style="2"/>
    <col min="7659" max="7659" width="20" style="2" customWidth="1"/>
    <col min="7660" max="7914" width="11.42578125" style="2"/>
    <col min="7915" max="7915" width="20" style="2" customWidth="1"/>
    <col min="7916" max="8170" width="11.42578125" style="2"/>
    <col min="8171" max="8171" width="20" style="2" customWidth="1"/>
    <col min="8172" max="8426" width="11.42578125" style="2"/>
    <col min="8427" max="8427" width="20" style="2" customWidth="1"/>
    <col min="8428" max="8682" width="11.42578125" style="2"/>
    <col min="8683" max="8683" width="20" style="2" customWidth="1"/>
    <col min="8684" max="8938" width="11.42578125" style="2"/>
    <col min="8939" max="8939" width="20" style="2" customWidth="1"/>
    <col min="8940" max="9194" width="11.42578125" style="2"/>
    <col min="9195" max="9195" width="20" style="2" customWidth="1"/>
    <col min="9196" max="9450" width="11.42578125" style="2"/>
    <col min="9451" max="9451" width="20" style="2" customWidth="1"/>
    <col min="9452" max="9706" width="11.42578125" style="2"/>
    <col min="9707" max="9707" width="20" style="2" customWidth="1"/>
    <col min="9708" max="9962" width="11.42578125" style="2"/>
    <col min="9963" max="9963" width="20" style="2" customWidth="1"/>
    <col min="9964" max="10218" width="11.42578125" style="2"/>
    <col min="10219" max="10219" width="20" style="2" customWidth="1"/>
    <col min="10220" max="10474" width="11.42578125" style="2"/>
    <col min="10475" max="10475" width="20" style="2" customWidth="1"/>
    <col min="10476" max="10730" width="11.42578125" style="2"/>
    <col min="10731" max="10731" width="20" style="2" customWidth="1"/>
    <col min="10732" max="10986" width="11.42578125" style="2"/>
    <col min="10987" max="10987" width="20" style="2" customWidth="1"/>
    <col min="10988" max="11242" width="11.42578125" style="2"/>
    <col min="11243" max="11243" width="20" style="2" customWidth="1"/>
    <col min="11244" max="11498" width="11.42578125" style="2"/>
    <col min="11499" max="11499" width="20" style="2" customWidth="1"/>
    <col min="11500" max="11754" width="11.42578125" style="2"/>
    <col min="11755" max="11755" width="20" style="2" customWidth="1"/>
    <col min="11756" max="12010" width="11.42578125" style="2"/>
    <col min="12011" max="12011" width="20" style="2" customWidth="1"/>
    <col min="12012" max="12266" width="11.42578125" style="2"/>
    <col min="12267" max="12267" width="20" style="2" customWidth="1"/>
    <col min="12268" max="12522" width="11.42578125" style="2"/>
    <col min="12523" max="12523" width="20" style="2" customWidth="1"/>
    <col min="12524" max="12778" width="11.42578125" style="2"/>
    <col min="12779" max="12779" width="20" style="2" customWidth="1"/>
    <col min="12780" max="13034" width="11.42578125" style="2"/>
    <col min="13035" max="13035" width="20" style="2" customWidth="1"/>
    <col min="13036" max="13290" width="11.42578125" style="2"/>
    <col min="13291" max="13291" width="20" style="2" customWidth="1"/>
    <col min="13292" max="13546" width="11.42578125" style="2"/>
    <col min="13547" max="13547" width="20" style="2" customWidth="1"/>
    <col min="13548" max="13802" width="11.42578125" style="2"/>
    <col min="13803" max="13803" width="20" style="2" customWidth="1"/>
    <col min="13804" max="14058" width="11.42578125" style="2"/>
    <col min="14059" max="14059" width="20" style="2" customWidth="1"/>
    <col min="14060" max="14314" width="11.42578125" style="2"/>
    <col min="14315" max="14315" width="20" style="2" customWidth="1"/>
    <col min="14316" max="14570" width="11.42578125" style="2"/>
    <col min="14571" max="14571" width="20" style="2" customWidth="1"/>
    <col min="14572" max="14826" width="11.42578125" style="2"/>
    <col min="14827" max="14827" width="20" style="2" customWidth="1"/>
    <col min="14828" max="15082" width="11.42578125" style="2"/>
    <col min="15083" max="15083" width="20" style="2" customWidth="1"/>
    <col min="15084" max="15338" width="11.42578125" style="2"/>
    <col min="15339" max="15339" width="20" style="2" customWidth="1"/>
    <col min="15340" max="15594" width="11.42578125" style="2"/>
    <col min="15595" max="15595" width="20" style="2" customWidth="1"/>
    <col min="15596" max="15850" width="11.42578125" style="2"/>
    <col min="15851" max="15851" width="20" style="2" customWidth="1"/>
    <col min="15852" max="16106" width="11.42578125" style="2"/>
    <col min="16107" max="16107" width="20" style="2" customWidth="1"/>
    <col min="16108" max="16384" width="11.42578125" style="2"/>
  </cols>
  <sheetData>
    <row r="1" spans="1:4" x14ac:dyDescent="0.15">
      <c r="A1" s="1" t="s">
        <v>36</v>
      </c>
      <c r="B1" s="1" t="s">
        <v>37</v>
      </c>
      <c r="C1" s="1" t="s">
        <v>38</v>
      </c>
      <c r="D1" s="1" t="s">
        <v>39</v>
      </c>
    </row>
    <row r="2" spans="1:4" ht="18.75" customHeight="1" x14ac:dyDescent="0.2">
      <c r="A2" s="73" t="s">
        <v>41</v>
      </c>
      <c r="B2" s="73" t="s">
        <v>0</v>
      </c>
      <c r="C2" s="73" t="s">
        <v>42</v>
      </c>
      <c r="D2" s="3"/>
    </row>
    <row r="3" spans="1:4" ht="18.75" customHeight="1" x14ac:dyDescent="0.2">
      <c r="A3" s="73" t="s">
        <v>41</v>
      </c>
      <c r="B3" s="73" t="s">
        <v>0</v>
      </c>
      <c r="C3" s="73" t="s">
        <v>43</v>
      </c>
      <c r="D3" s="3"/>
    </row>
    <row r="4" spans="1:4" ht="18.75" customHeight="1" x14ac:dyDescent="0.2">
      <c r="A4" s="73" t="s">
        <v>41</v>
      </c>
      <c r="B4" s="73" t="s">
        <v>0</v>
      </c>
      <c r="C4" s="73" t="s">
        <v>44</v>
      </c>
      <c r="D4" s="3"/>
    </row>
    <row r="5" spans="1:4" ht="18.75" customHeight="1" x14ac:dyDescent="0.2">
      <c r="A5" s="73" t="s">
        <v>41</v>
      </c>
      <c r="B5" s="73" t="s">
        <v>0</v>
      </c>
      <c r="C5" s="73" t="s">
        <v>45</v>
      </c>
      <c r="D5" s="3"/>
    </row>
    <row r="6" spans="1:4" ht="18.75" customHeight="1" x14ac:dyDescent="0.2">
      <c r="A6" s="73" t="s">
        <v>41</v>
      </c>
      <c r="B6" s="73" t="s">
        <v>0</v>
      </c>
      <c r="C6" s="73" t="s">
        <v>46</v>
      </c>
      <c r="D6" s="3"/>
    </row>
    <row r="7" spans="1:4" ht="18.75" customHeight="1" x14ac:dyDescent="0.2">
      <c r="A7" s="73" t="s">
        <v>41</v>
      </c>
      <c r="B7" s="73" t="s">
        <v>0</v>
      </c>
      <c r="C7" s="73" t="s">
        <v>47</v>
      </c>
      <c r="D7" s="3"/>
    </row>
    <row r="8" spans="1:4" ht="18.75" customHeight="1" x14ac:dyDescent="0.2">
      <c r="A8" s="73" t="s">
        <v>41</v>
      </c>
      <c r="B8" s="73" t="s">
        <v>0</v>
      </c>
      <c r="C8" s="73" t="s">
        <v>48</v>
      </c>
      <c r="D8" s="3"/>
    </row>
    <row r="9" spans="1:4" ht="18.75" customHeight="1" x14ac:dyDescent="0.2">
      <c r="A9" s="73" t="s">
        <v>41</v>
      </c>
      <c r="B9" s="73" t="s">
        <v>0</v>
      </c>
      <c r="C9" s="73" t="s">
        <v>49</v>
      </c>
      <c r="D9" s="3"/>
    </row>
    <row r="10" spans="1:4" ht="18.75" customHeight="1" x14ac:dyDescent="0.2">
      <c r="A10" s="73" t="s">
        <v>41</v>
      </c>
      <c r="B10" s="73" t="s">
        <v>0</v>
      </c>
      <c r="C10" s="73" t="s">
        <v>50</v>
      </c>
      <c r="D10" s="3"/>
    </row>
    <row r="11" spans="1:4" ht="18.75" customHeight="1" x14ac:dyDescent="0.2">
      <c r="A11" s="73" t="s">
        <v>41</v>
      </c>
      <c r="B11" s="73" t="s">
        <v>0</v>
      </c>
      <c r="C11" s="73" t="s">
        <v>51</v>
      </c>
      <c r="D11" s="3"/>
    </row>
    <row r="12" spans="1:4" ht="18.75" customHeight="1" x14ac:dyDescent="0.2">
      <c r="A12" s="73" t="s">
        <v>41</v>
      </c>
      <c r="B12" s="73" t="s">
        <v>0</v>
      </c>
      <c r="C12" s="73" t="s">
        <v>52</v>
      </c>
      <c r="D12" s="3"/>
    </row>
    <row r="13" spans="1:4" ht="18.75" customHeight="1" x14ac:dyDescent="0.2">
      <c r="A13" s="73" t="s">
        <v>41</v>
      </c>
      <c r="B13" s="73" t="s">
        <v>0</v>
      </c>
      <c r="C13" s="73" t="s">
        <v>53</v>
      </c>
      <c r="D13" s="3"/>
    </row>
    <row r="14" spans="1:4" ht="18.75" customHeight="1" x14ac:dyDescent="0.2">
      <c r="A14" s="73" t="s">
        <v>41</v>
      </c>
      <c r="B14" s="73" t="s">
        <v>0</v>
      </c>
      <c r="C14" s="73" t="s">
        <v>54</v>
      </c>
      <c r="D14" s="3"/>
    </row>
    <row r="15" spans="1:4" ht="18.75" customHeight="1" x14ac:dyDescent="0.2">
      <c r="A15" s="73" t="s">
        <v>41</v>
      </c>
      <c r="B15" s="73" t="s">
        <v>0</v>
      </c>
      <c r="C15" s="73" t="s">
        <v>55</v>
      </c>
      <c r="D15" s="3"/>
    </row>
    <row r="16" spans="1:4" ht="18.75" customHeight="1" x14ac:dyDescent="0.2">
      <c r="A16" s="73" t="s">
        <v>41</v>
      </c>
      <c r="B16" s="73" t="s">
        <v>0</v>
      </c>
      <c r="C16" s="73" t="s">
        <v>56</v>
      </c>
      <c r="D16" s="3"/>
    </row>
    <row r="17" spans="1:4" ht="18.75" customHeight="1" x14ac:dyDescent="0.2">
      <c r="A17" s="73" t="s">
        <v>41</v>
      </c>
      <c r="B17" s="73" t="s">
        <v>0</v>
      </c>
      <c r="C17" s="73" t="s">
        <v>57</v>
      </c>
      <c r="D17" s="3"/>
    </row>
    <row r="18" spans="1:4" ht="18.75" customHeight="1" x14ac:dyDescent="0.2">
      <c r="A18" s="73" t="s">
        <v>41</v>
      </c>
      <c r="B18" s="73" t="s">
        <v>0</v>
      </c>
      <c r="C18" s="73" t="s">
        <v>58</v>
      </c>
      <c r="D18" s="3"/>
    </row>
    <row r="19" spans="1:4" ht="18.75" customHeight="1" x14ac:dyDescent="0.2">
      <c r="A19" s="73" t="s">
        <v>41</v>
      </c>
      <c r="B19" s="73" t="s">
        <v>0</v>
      </c>
      <c r="C19" s="73" t="s">
        <v>59</v>
      </c>
      <c r="D19" s="3"/>
    </row>
    <row r="20" spans="1:4" ht="18.75" customHeight="1" x14ac:dyDescent="0.2">
      <c r="A20" s="73" t="s">
        <v>41</v>
      </c>
      <c r="B20" s="73" t="s">
        <v>0</v>
      </c>
      <c r="C20" s="73" t="s">
        <v>60</v>
      </c>
      <c r="D20" s="3"/>
    </row>
    <row r="21" spans="1:4" ht="18.75" customHeight="1" x14ac:dyDescent="0.2">
      <c r="A21" s="73" t="s">
        <v>41</v>
      </c>
      <c r="B21" s="73" t="s">
        <v>0</v>
      </c>
      <c r="C21" s="73" t="s">
        <v>61</v>
      </c>
      <c r="D21" s="3"/>
    </row>
    <row r="22" spans="1:4" ht="18.75" customHeight="1" x14ac:dyDescent="0.2">
      <c r="A22" s="73" t="s">
        <v>41</v>
      </c>
      <c r="B22" s="73" t="s">
        <v>0</v>
      </c>
      <c r="C22" s="73" t="s">
        <v>62</v>
      </c>
      <c r="D22" s="3"/>
    </row>
    <row r="23" spans="1:4" ht="18.75" customHeight="1" x14ac:dyDescent="0.2">
      <c r="A23" s="73" t="s">
        <v>41</v>
      </c>
      <c r="B23" s="73" t="s">
        <v>0</v>
      </c>
      <c r="C23" s="73" t="s">
        <v>63</v>
      </c>
      <c r="D23" s="3"/>
    </row>
    <row r="24" spans="1:4" ht="18.75" customHeight="1" x14ac:dyDescent="0.2">
      <c r="A24" s="73" t="s">
        <v>41</v>
      </c>
      <c r="B24" s="73" t="s">
        <v>0</v>
      </c>
      <c r="C24" s="73" t="s">
        <v>64</v>
      </c>
      <c r="D24" s="3"/>
    </row>
    <row r="25" spans="1:4" ht="18.75" customHeight="1" x14ac:dyDescent="0.2">
      <c r="A25" s="73" t="s">
        <v>41</v>
      </c>
      <c r="B25" s="73" t="s">
        <v>0</v>
      </c>
      <c r="C25" s="73" t="s">
        <v>65</v>
      </c>
      <c r="D25" s="3"/>
    </row>
    <row r="26" spans="1:4" ht="18.75" customHeight="1" x14ac:dyDescent="0.2">
      <c r="A26" s="73" t="s">
        <v>41</v>
      </c>
      <c r="B26" s="73" t="s">
        <v>0</v>
      </c>
      <c r="C26" s="73" t="s">
        <v>66</v>
      </c>
      <c r="D26" s="3"/>
    </row>
    <row r="27" spans="1:4" ht="18.75" customHeight="1" x14ac:dyDescent="0.2">
      <c r="A27" s="73" t="s">
        <v>41</v>
      </c>
      <c r="B27" s="73" t="s">
        <v>0</v>
      </c>
      <c r="C27" s="73" t="s">
        <v>67</v>
      </c>
      <c r="D27" s="3"/>
    </row>
    <row r="28" spans="1:4" ht="18.75" customHeight="1" x14ac:dyDescent="0.2">
      <c r="A28" s="73" t="s">
        <v>41</v>
      </c>
      <c r="B28" s="73" t="s">
        <v>0</v>
      </c>
      <c r="C28" s="73" t="s">
        <v>68</v>
      </c>
      <c r="D28" s="3"/>
    </row>
    <row r="29" spans="1:4" ht="18.75" customHeight="1" x14ac:dyDescent="0.2">
      <c r="A29" s="73" t="s">
        <v>41</v>
      </c>
      <c r="B29" s="73" t="s">
        <v>0</v>
      </c>
      <c r="C29" s="73" t="s">
        <v>69</v>
      </c>
      <c r="D29" s="3"/>
    </row>
    <row r="30" spans="1:4" ht="18.75" customHeight="1" x14ac:dyDescent="0.2">
      <c r="A30" s="73" t="s">
        <v>41</v>
      </c>
      <c r="B30" s="73" t="s">
        <v>0</v>
      </c>
      <c r="C30" s="73" t="s">
        <v>70</v>
      </c>
      <c r="D30" s="3"/>
    </row>
    <row r="31" spans="1:4" ht="18.75" customHeight="1" x14ac:dyDescent="0.2">
      <c r="A31" s="73" t="s">
        <v>41</v>
      </c>
      <c r="B31" s="73" t="s">
        <v>0</v>
      </c>
      <c r="C31" s="73" t="s">
        <v>71</v>
      </c>
      <c r="D31" s="3"/>
    </row>
    <row r="32" spans="1:4" ht="18.75" customHeight="1" x14ac:dyDescent="0.2">
      <c r="A32" s="73" t="s">
        <v>41</v>
      </c>
      <c r="B32" s="73" t="s">
        <v>0</v>
      </c>
      <c r="C32" s="73" t="s">
        <v>72</v>
      </c>
      <c r="D32" s="3"/>
    </row>
    <row r="33" spans="1:4" ht="18.75" customHeight="1" x14ac:dyDescent="0.2">
      <c r="A33" s="73"/>
      <c r="B33" s="73"/>
      <c r="C33" s="73"/>
      <c r="D33" s="3"/>
    </row>
    <row r="34" spans="1:4" ht="18.75" customHeight="1" x14ac:dyDescent="0.2">
      <c r="A34" s="73"/>
      <c r="B34" s="73"/>
      <c r="C34" s="73"/>
      <c r="D34" s="3"/>
    </row>
    <row r="35" spans="1:4" ht="18.75" customHeight="1" x14ac:dyDescent="0.2">
      <c r="A35" s="73"/>
      <c r="B35" s="73"/>
      <c r="C35" s="73"/>
      <c r="D35" s="3"/>
    </row>
    <row r="36" spans="1:4" ht="18.75" customHeight="1" x14ac:dyDescent="0.2">
      <c r="A36" s="73"/>
      <c r="B36" s="73"/>
      <c r="C36" s="73"/>
      <c r="D36" s="3"/>
    </row>
    <row r="37" spans="1:4" ht="18.75" customHeight="1" x14ac:dyDescent="0.2">
      <c r="A37" s="73"/>
      <c r="B37" s="73"/>
      <c r="C37" s="73"/>
      <c r="D37" s="3"/>
    </row>
    <row r="38" spans="1:4" ht="18.75" customHeight="1" x14ac:dyDescent="0.2">
      <c r="A38" s="73"/>
      <c r="B38" s="73"/>
      <c r="C38" s="73"/>
      <c r="D38" s="3"/>
    </row>
    <row r="39" spans="1:4" ht="18.75" customHeight="1" x14ac:dyDescent="0.2">
      <c r="A39" s="73"/>
      <c r="B39" s="73"/>
      <c r="C39" s="73"/>
      <c r="D39" s="3"/>
    </row>
    <row r="40" spans="1:4" ht="18.75" customHeight="1" x14ac:dyDescent="0.2">
      <c r="A40" s="73"/>
      <c r="B40" s="73"/>
      <c r="C40" s="73"/>
      <c r="D40" s="3"/>
    </row>
    <row r="41" spans="1:4" ht="18.75" customHeight="1" x14ac:dyDescent="0.2">
      <c r="A41" s="73"/>
      <c r="B41" s="73"/>
      <c r="C41" s="73"/>
      <c r="D41" s="3"/>
    </row>
    <row r="42" spans="1:4" ht="18" customHeight="1" x14ac:dyDescent="0.2">
      <c r="A42" s="73"/>
      <c r="B42" s="73"/>
      <c r="C42" s="73"/>
      <c r="D42" s="3"/>
    </row>
    <row r="43" spans="1:4" ht="18" customHeight="1" x14ac:dyDescent="0.2">
      <c r="A43" s="73"/>
      <c r="B43" s="73"/>
      <c r="C43" s="73"/>
      <c r="D43" s="3"/>
    </row>
    <row r="44" spans="1:4" ht="18" customHeight="1" x14ac:dyDescent="0.2">
      <c r="A44" s="73"/>
      <c r="B44" s="73"/>
      <c r="C44" s="73"/>
      <c r="D44" s="3"/>
    </row>
    <row r="45" spans="1:4" ht="18" customHeight="1" x14ac:dyDescent="0.2">
      <c r="A45" s="73"/>
      <c r="B45" s="73"/>
      <c r="C45" s="73"/>
      <c r="D45" s="3"/>
    </row>
    <row r="46" spans="1:4" ht="18" customHeight="1" x14ac:dyDescent="0.2">
      <c r="A46" s="73"/>
      <c r="B46" s="73"/>
      <c r="C46" s="73"/>
      <c r="D46" s="3"/>
    </row>
    <row r="47" spans="1:4" ht="18" customHeight="1" x14ac:dyDescent="0.2">
      <c r="A47" s="73"/>
      <c r="B47" s="73"/>
      <c r="C47" s="73"/>
      <c r="D47" s="3"/>
    </row>
    <row r="48" spans="1:4" ht="18" customHeight="1" x14ac:dyDescent="0.2">
      <c r="A48" s="73"/>
      <c r="B48" s="73"/>
      <c r="C48" s="73"/>
      <c r="D48" s="3"/>
    </row>
    <row r="49" spans="1:4" ht="18" customHeight="1" x14ac:dyDescent="0.2">
      <c r="A49" s="73"/>
      <c r="B49" s="73"/>
      <c r="C49" s="73"/>
      <c r="D49" s="3"/>
    </row>
    <row r="50" spans="1:4" ht="18" customHeight="1" x14ac:dyDescent="0.2">
      <c r="A50" s="73"/>
      <c r="B50" s="73"/>
      <c r="C50" s="73"/>
      <c r="D50" s="3"/>
    </row>
    <row r="51" spans="1:4" ht="18.75" customHeight="1" x14ac:dyDescent="0.2">
      <c r="A51" s="73"/>
      <c r="B51" s="73"/>
      <c r="C51" s="73"/>
      <c r="D51" s="3"/>
    </row>
    <row r="52" spans="1:4" ht="18.75" customHeight="1" x14ac:dyDescent="0.2">
      <c r="A52" s="73"/>
      <c r="B52" s="73"/>
      <c r="C52" s="73"/>
      <c r="D52" s="3"/>
    </row>
    <row r="53" spans="1:4" ht="18.75" customHeight="1" x14ac:dyDescent="0.2">
      <c r="A53" s="73"/>
      <c r="B53" s="73"/>
      <c r="C53" s="73"/>
      <c r="D53" s="3"/>
    </row>
    <row r="54" spans="1:4" ht="15.75" customHeight="1" x14ac:dyDescent="0.2">
      <c r="A54" s="4"/>
      <c r="B54" s="4"/>
      <c r="C54" s="4"/>
      <c r="D54" s="5"/>
    </row>
    <row r="55" spans="1:4" ht="15.75" customHeight="1" x14ac:dyDescent="0.2">
      <c r="A55" s="4"/>
      <c r="B55" s="4"/>
      <c r="C55" s="4"/>
      <c r="D55" s="5"/>
    </row>
    <row r="56" spans="1:4" ht="11.25" x14ac:dyDescent="0.2">
      <c r="A56" s="3"/>
      <c r="B56" s="3"/>
      <c r="C56" s="3"/>
      <c r="D56" s="5"/>
    </row>
  </sheetData>
  <pageMargins left="0.23622047244094491" right="0.23622047244094491" top="0" bottom="0.74803149606299213" header="0.31496062992125984" footer="0.31496062992125984"/>
  <pageSetup scale="71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3"/>
  <sheetViews>
    <sheetView tabSelected="1" topLeftCell="A14" workbookViewId="0">
      <selection activeCell="F26" sqref="F26"/>
    </sheetView>
  </sheetViews>
  <sheetFormatPr baseColWidth="10" defaultRowHeight="13.5" x14ac:dyDescent="0.25"/>
  <cols>
    <col min="1" max="1" width="6.7109375" style="6" customWidth="1"/>
    <col min="2" max="2" width="13.5703125" style="7" customWidth="1"/>
    <col min="3" max="3" width="10.42578125" style="6" customWidth="1"/>
    <col min="4" max="4" width="10" style="8" customWidth="1"/>
    <col min="5" max="5" width="8.85546875" style="9" customWidth="1"/>
    <col min="6" max="6" width="8.7109375" style="9" customWidth="1"/>
    <col min="7" max="7" width="10.28515625" style="6" customWidth="1"/>
    <col min="8" max="8" width="10" style="6" customWidth="1"/>
    <col min="9" max="9" width="10.140625" style="6" customWidth="1"/>
    <col min="10" max="11" width="11.42578125" style="6"/>
    <col min="12" max="12" width="10" style="6" customWidth="1"/>
    <col min="13" max="13" width="10.5703125" style="6" customWidth="1"/>
    <col min="14" max="14" width="10.28515625" style="6" customWidth="1"/>
    <col min="15" max="15" width="10.5703125" style="6" customWidth="1"/>
    <col min="16" max="16" width="10.85546875" style="6" customWidth="1"/>
    <col min="17" max="17" width="14" style="6" customWidth="1"/>
    <col min="18" max="18" width="13.28515625" style="6" customWidth="1"/>
    <col min="19" max="19" width="7.7109375" style="6" customWidth="1"/>
    <col min="20" max="16384" width="11.42578125" style="6"/>
  </cols>
  <sheetData>
    <row r="1" spans="1:19" x14ac:dyDescent="0.25">
      <c r="A1" s="6" t="s">
        <v>40</v>
      </c>
    </row>
    <row r="2" spans="1:19" x14ac:dyDescent="0.25">
      <c r="A2" s="6" t="s">
        <v>73</v>
      </c>
      <c r="K2" s="10"/>
      <c r="L2" s="10"/>
      <c r="M2" s="10"/>
      <c r="N2" s="10"/>
      <c r="O2" s="10"/>
      <c r="P2" s="77" t="s">
        <v>3</v>
      </c>
      <c r="Q2" s="70" t="s">
        <v>4</v>
      </c>
      <c r="R2" s="70" t="s">
        <v>5</v>
      </c>
    </row>
    <row r="3" spans="1:19" x14ac:dyDescent="0.25">
      <c r="A3" s="6" t="s">
        <v>0</v>
      </c>
      <c r="K3" s="10"/>
      <c r="L3" s="10"/>
      <c r="M3" s="10"/>
      <c r="N3" s="10"/>
      <c r="P3" s="77"/>
      <c r="Q3" s="71">
        <v>0.29166666666666669</v>
      </c>
      <c r="R3" s="72">
        <v>0.625</v>
      </c>
    </row>
    <row r="4" spans="1:19" x14ac:dyDescent="0.25">
      <c r="A4" s="12"/>
      <c r="K4" s="10"/>
      <c r="L4" s="10"/>
      <c r="M4" s="10"/>
      <c r="N4" s="10"/>
      <c r="P4" s="13"/>
    </row>
    <row r="5" spans="1:19" ht="15.75" customHeight="1" thickBot="1" x14ac:dyDescent="0.3">
      <c r="A5" s="12"/>
    </row>
    <row r="6" spans="1:19" ht="12.75" customHeight="1" thickBot="1" x14ac:dyDescent="0.3">
      <c r="A6" s="78" t="s">
        <v>6</v>
      </c>
      <c r="B6" s="79" t="s">
        <v>7</v>
      </c>
      <c r="C6" s="78" t="s">
        <v>1</v>
      </c>
      <c r="D6" s="78" t="s">
        <v>2</v>
      </c>
      <c r="E6" s="78" t="s">
        <v>8</v>
      </c>
      <c r="F6" s="80" t="s">
        <v>9</v>
      </c>
      <c r="G6" s="81" t="s">
        <v>10</v>
      </c>
      <c r="H6" s="82"/>
      <c r="I6" s="82"/>
      <c r="J6" s="82"/>
      <c r="K6" s="82"/>
      <c r="L6" s="83"/>
      <c r="M6" s="84" t="s">
        <v>11</v>
      </c>
      <c r="N6" s="84"/>
      <c r="O6" s="84"/>
      <c r="P6" s="84"/>
      <c r="Q6" s="84"/>
      <c r="R6" s="75"/>
    </row>
    <row r="7" spans="1:19" ht="54" x14ac:dyDescent="0.25">
      <c r="A7" s="78"/>
      <c r="B7" s="79"/>
      <c r="C7" s="78"/>
      <c r="D7" s="78"/>
      <c r="E7" s="78"/>
      <c r="F7" s="80"/>
      <c r="G7" s="14" t="s">
        <v>1</v>
      </c>
      <c r="H7" s="15" t="s">
        <v>2</v>
      </c>
      <c r="I7" s="15" t="s">
        <v>12</v>
      </c>
      <c r="J7" s="15" t="s">
        <v>13</v>
      </c>
      <c r="K7" s="15" t="s">
        <v>14</v>
      </c>
      <c r="L7" s="16" t="s">
        <v>12</v>
      </c>
      <c r="M7" s="17" t="s">
        <v>15</v>
      </c>
      <c r="N7" s="18" t="s">
        <v>16</v>
      </c>
      <c r="O7" s="18" t="s">
        <v>17</v>
      </c>
      <c r="P7" s="18" t="s">
        <v>18</v>
      </c>
      <c r="Q7" s="18" t="s">
        <v>19</v>
      </c>
      <c r="R7" s="18" t="s">
        <v>20</v>
      </c>
    </row>
    <row r="8" spans="1:19" ht="16.5" customHeight="1" x14ac:dyDescent="0.25">
      <c r="A8" s="19">
        <v>9</v>
      </c>
      <c r="B8" s="20">
        <v>46174</v>
      </c>
      <c r="C8" s="21">
        <v>0.27083333333333331</v>
      </c>
      <c r="D8" s="22">
        <v>0.60416666666666663</v>
      </c>
      <c r="E8" s="23"/>
      <c r="F8" s="23"/>
      <c r="G8" s="24">
        <f t="shared" ref="G8:G10" si="0">IF(C8-E8&gt;0,+C8-E8,0)</f>
        <v>0.27083333333333331</v>
      </c>
      <c r="H8" s="25">
        <f t="shared" ref="H8:H10" si="1">IF(F8-D8&gt;0,+F8-D8,0)</f>
        <v>0</v>
      </c>
      <c r="I8" s="25">
        <f t="shared" ref="I8:I10" si="2">SUM(G8:H8)</f>
        <v>0.27083333333333331</v>
      </c>
      <c r="J8" s="25">
        <f t="shared" ref="J8:J10" si="3">IF(C8-E8&lt;0,+(+C8-E8)*-1,0)</f>
        <v>0</v>
      </c>
      <c r="K8" s="25">
        <f t="shared" ref="K8:K10" si="4">IF(F8-D8&lt;0,+(+F8-D8)*-1,0)</f>
        <v>0.60416666666666663</v>
      </c>
      <c r="L8" s="26">
        <f t="shared" ref="L8:L10" si="5">+J8+K8</f>
        <v>0.60416666666666663</v>
      </c>
      <c r="M8" s="27">
        <v>0.25</v>
      </c>
      <c r="N8" s="11">
        <f t="shared" ref="N8:N10" si="6">IF((+M8-E8)&gt;0,(+M8-E8),0)</f>
        <v>0.25</v>
      </c>
      <c r="O8" s="28">
        <f t="shared" ref="O8:O10" si="7">+F8-E8</f>
        <v>0</v>
      </c>
      <c r="P8" s="28">
        <v>0.33333333333333331</v>
      </c>
      <c r="Q8" s="28">
        <f t="shared" ref="Q8:Q10" si="8">+O8-P8</f>
        <v>-0.33333333333333331</v>
      </c>
      <c r="R8" s="29"/>
      <c r="S8" s="10"/>
    </row>
    <row r="9" spans="1:19" ht="15.75" customHeight="1" x14ac:dyDescent="0.25">
      <c r="A9" s="19">
        <v>9</v>
      </c>
      <c r="B9" s="20">
        <v>46175</v>
      </c>
      <c r="C9" s="21">
        <v>0.27083333333333331</v>
      </c>
      <c r="D9" s="22">
        <v>0.60416666666666663</v>
      </c>
      <c r="E9" s="23"/>
      <c r="F9" s="23"/>
      <c r="G9" s="24">
        <f t="shared" si="0"/>
        <v>0.27083333333333331</v>
      </c>
      <c r="H9" s="25">
        <f t="shared" si="1"/>
        <v>0</v>
      </c>
      <c r="I9" s="25">
        <f t="shared" si="2"/>
        <v>0.27083333333333331</v>
      </c>
      <c r="J9" s="25">
        <f t="shared" si="3"/>
        <v>0</v>
      </c>
      <c r="K9" s="25">
        <f t="shared" si="4"/>
        <v>0.60416666666666663</v>
      </c>
      <c r="L9" s="26">
        <f t="shared" si="5"/>
        <v>0.60416666666666663</v>
      </c>
      <c r="M9" s="27">
        <v>0.25</v>
      </c>
      <c r="N9" s="11">
        <f t="shared" si="6"/>
        <v>0.25</v>
      </c>
      <c r="O9" s="28">
        <f t="shared" si="7"/>
        <v>0</v>
      </c>
      <c r="P9" s="28">
        <v>0.33333333333333331</v>
      </c>
      <c r="Q9" s="28">
        <f t="shared" si="8"/>
        <v>-0.33333333333333331</v>
      </c>
      <c r="R9" s="29"/>
      <c r="S9" s="10"/>
    </row>
    <row r="10" spans="1:19" ht="15.75" customHeight="1" x14ac:dyDescent="0.25">
      <c r="A10" s="19">
        <v>9</v>
      </c>
      <c r="B10" s="20">
        <v>46176</v>
      </c>
      <c r="C10" s="21">
        <v>0.27083333333333331</v>
      </c>
      <c r="D10" s="22">
        <v>0.60416666666666663</v>
      </c>
      <c r="E10" s="23"/>
      <c r="F10" s="23"/>
      <c r="G10" s="24">
        <f t="shared" si="0"/>
        <v>0.27083333333333331</v>
      </c>
      <c r="H10" s="25">
        <f t="shared" si="1"/>
        <v>0</v>
      </c>
      <c r="I10" s="25">
        <f t="shared" si="2"/>
        <v>0.27083333333333331</v>
      </c>
      <c r="J10" s="25">
        <f t="shared" si="3"/>
        <v>0</v>
      </c>
      <c r="K10" s="25">
        <f t="shared" si="4"/>
        <v>0.60416666666666663</v>
      </c>
      <c r="L10" s="26">
        <f t="shared" si="5"/>
        <v>0.60416666666666663</v>
      </c>
      <c r="M10" s="27">
        <v>0.25</v>
      </c>
      <c r="N10" s="11">
        <f t="shared" si="6"/>
        <v>0.25</v>
      </c>
      <c r="O10" s="28">
        <f t="shared" si="7"/>
        <v>0</v>
      </c>
      <c r="P10" s="28">
        <v>0.33333333333333331</v>
      </c>
      <c r="Q10" s="28">
        <f t="shared" si="8"/>
        <v>-0.33333333333333331</v>
      </c>
      <c r="R10" s="29"/>
      <c r="S10" s="10"/>
    </row>
    <row r="11" spans="1:19" ht="15.75" customHeight="1" x14ac:dyDescent="0.25">
      <c r="A11" s="19">
        <v>9</v>
      </c>
      <c r="B11" s="20">
        <v>46177</v>
      </c>
      <c r="C11" s="21">
        <v>0.27083333333333331</v>
      </c>
      <c r="D11" s="22">
        <v>0.60416666666666663</v>
      </c>
      <c r="E11" s="23"/>
      <c r="F11" s="23"/>
      <c r="G11" s="24">
        <f t="shared" ref="G11:G15" si="9">IF(C11-E11&gt;0,+C11-E11,0)</f>
        <v>0.27083333333333331</v>
      </c>
      <c r="H11" s="25">
        <f t="shared" ref="H11:H15" si="10">IF(F11-D11&gt;0,+F11-D11,0)</f>
        <v>0</v>
      </c>
      <c r="I11" s="25">
        <f t="shared" ref="I11:I15" si="11">SUM(G11:H11)</f>
        <v>0.27083333333333331</v>
      </c>
      <c r="J11" s="25">
        <f t="shared" ref="J11:J12" si="12">IF(C11-E11&lt;0,+(+C11-E11)*-1,0)</f>
        <v>0</v>
      </c>
      <c r="K11" s="25">
        <f t="shared" ref="K11:K15" si="13">IF(F11-D11&lt;0,+(+F11-D11)*-1,0)</f>
        <v>0.60416666666666663</v>
      </c>
      <c r="L11" s="26">
        <f t="shared" ref="L11:L15" si="14">+J11+K11</f>
        <v>0.60416666666666663</v>
      </c>
      <c r="M11" s="27">
        <v>0.25</v>
      </c>
      <c r="N11" s="11">
        <f t="shared" ref="N11:N12" si="15">IF((+M11-E11)&gt;0,(+M11-E11),0)</f>
        <v>0.25</v>
      </c>
      <c r="O11" s="28">
        <f t="shared" ref="O11:O15" si="16">+F11-E11</f>
        <v>0</v>
      </c>
      <c r="P11" s="28">
        <v>0.33333333333333331</v>
      </c>
      <c r="Q11" s="28">
        <f t="shared" ref="Q11:Q12" si="17">+O11-P11</f>
        <v>-0.33333333333333331</v>
      </c>
      <c r="R11" s="29"/>
      <c r="S11" s="10"/>
    </row>
    <row r="12" spans="1:19" ht="15.75" customHeight="1" x14ac:dyDescent="0.25">
      <c r="A12" s="19">
        <v>9</v>
      </c>
      <c r="B12" s="20">
        <v>46178</v>
      </c>
      <c r="C12" s="21">
        <v>0.27083333333333331</v>
      </c>
      <c r="D12" s="22">
        <v>0.60416666666666663</v>
      </c>
      <c r="E12" s="23"/>
      <c r="F12" s="23"/>
      <c r="G12" s="24">
        <f t="shared" si="9"/>
        <v>0.27083333333333331</v>
      </c>
      <c r="H12" s="25">
        <f t="shared" si="10"/>
        <v>0</v>
      </c>
      <c r="I12" s="25">
        <f t="shared" si="11"/>
        <v>0.27083333333333331</v>
      </c>
      <c r="J12" s="25">
        <f t="shared" si="12"/>
        <v>0</v>
      </c>
      <c r="K12" s="25">
        <f t="shared" si="13"/>
        <v>0.60416666666666663</v>
      </c>
      <c r="L12" s="26">
        <f t="shared" si="14"/>
        <v>0.60416666666666663</v>
      </c>
      <c r="M12" s="27">
        <v>0.25</v>
      </c>
      <c r="N12" s="11">
        <f t="shared" si="15"/>
        <v>0.25</v>
      </c>
      <c r="O12" s="28">
        <f t="shared" si="16"/>
        <v>0</v>
      </c>
      <c r="P12" s="28">
        <v>0.33333333333333331</v>
      </c>
      <c r="Q12" s="28">
        <f t="shared" si="17"/>
        <v>-0.33333333333333331</v>
      </c>
      <c r="R12" s="29"/>
      <c r="S12" s="10"/>
    </row>
    <row r="13" spans="1:19" ht="15.75" customHeight="1" x14ac:dyDescent="0.25">
      <c r="A13" s="30">
        <v>9</v>
      </c>
      <c r="B13" s="31">
        <v>46179</v>
      </c>
      <c r="C13" s="32">
        <v>0.27083333333333331</v>
      </c>
      <c r="D13" s="33">
        <v>0.60416666666666663</v>
      </c>
      <c r="E13" s="34"/>
      <c r="F13" s="34"/>
      <c r="G13" s="35"/>
      <c r="H13" s="36"/>
      <c r="I13" s="36"/>
      <c r="J13" s="36"/>
      <c r="K13" s="36"/>
      <c r="L13" s="37"/>
      <c r="M13" s="38"/>
      <c r="N13" s="39"/>
      <c r="O13" s="40"/>
      <c r="P13" s="40"/>
      <c r="Q13" s="40"/>
      <c r="R13" s="40"/>
      <c r="S13" s="10"/>
    </row>
    <row r="14" spans="1:19" ht="15.75" customHeight="1" x14ac:dyDescent="0.25">
      <c r="A14" s="19">
        <v>9</v>
      </c>
      <c r="B14" s="20">
        <v>46181</v>
      </c>
      <c r="C14" s="21">
        <v>0.27083333333333331</v>
      </c>
      <c r="D14" s="22">
        <v>0.60416666666666663</v>
      </c>
      <c r="E14" s="23"/>
      <c r="F14" s="23"/>
      <c r="G14" s="24">
        <f t="shared" si="9"/>
        <v>0.27083333333333331</v>
      </c>
      <c r="H14" s="25">
        <f t="shared" si="10"/>
        <v>0</v>
      </c>
      <c r="I14" s="25">
        <f t="shared" si="11"/>
        <v>0.27083333333333331</v>
      </c>
      <c r="J14" s="25">
        <f t="shared" ref="J14:J15" si="18">IF(C14-E14&lt;0,+(+C14-E14)*-1,0)</f>
        <v>0</v>
      </c>
      <c r="K14" s="25">
        <f t="shared" si="13"/>
        <v>0.60416666666666663</v>
      </c>
      <c r="L14" s="26">
        <f t="shared" si="14"/>
        <v>0.60416666666666663</v>
      </c>
      <c r="M14" s="27">
        <v>0.25</v>
      </c>
      <c r="N14" s="11">
        <f t="shared" ref="N14:N15" si="19">IF((+M14-E14)&gt;0,(+M14-E14),0)</f>
        <v>0.25</v>
      </c>
      <c r="O14" s="28">
        <f t="shared" si="16"/>
        <v>0</v>
      </c>
      <c r="P14" s="28">
        <v>0.33333333333333331</v>
      </c>
      <c r="Q14" s="28">
        <f t="shared" ref="Q14:Q15" si="20">+O14-P14</f>
        <v>-0.33333333333333331</v>
      </c>
      <c r="R14" s="29"/>
      <c r="S14" s="10"/>
    </row>
    <row r="15" spans="1:19" ht="15.75" customHeight="1" x14ac:dyDescent="0.25">
      <c r="A15" s="19">
        <v>9</v>
      </c>
      <c r="B15" s="20">
        <v>46182</v>
      </c>
      <c r="C15" s="21">
        <v>0.27083333333333331</v>
      </c>
      <c r="D15" s="22">
        <v>0.60416666666666663</v>
      </c>
      <c r="E15" s="23"/>
      <c r="F15" s="23"/>
      <c r="G15" s="24">
        <f t="shared" si="9"/>
        <v>0.27083333333333331</v>
      </c>
      <c r="H15" s="25">
        <f t="shared" si="10"/>
        <v>0</v>
      </c>
      <c r="I15" s="25">
        <f t="shared" si="11"/>
        <v>0.27083333333333331</v>
      </c>
      <c r="J15" s="25">
        <f t="shared" si="18"/>
        <v>0</v>
      </c>
      <c r="K15" s="25">
        <f t="shared" si="13"/>
        <v>0.60416666666666663</v>
      </c>
      <c r="L15" s="26">
        <f t="shared" si="14"/>
        <v>0.60416666666666663</v>
      </c>
      <c r="M15" s="27">
        <v>0.25</v>
      </c>
      <c r="N15" s="11">
        <f t="shared" si="19"/>
        <v>0.25</v>
      </c>
      <c r="O15" s="28">
        <f t="shared" si="16"/>
        <v>0</v>
      </c>
      <c r="P15" s="28">
        <v>0.33333333333333331</v>
      </c>
      <c r="Q15" s="28">
        <f t="shared" si="20"/>
        <v>-0.33333333333333331</v>
      </c>
      <c r="R15" s="29"/>
      <c r="S15" s="10"/>
    </row>
    <row r="16" spans="1:19" ht="15.75" customHeight="1" x14ac:dyDescent="0.25">
      <c r="A16" s="19">
        <v>9</v>
      </c>
      <c r="B16" s="20">
        <v>46183</v>
      </c>
      <c r="C16" s="21">
        <v>0.27083333333333331</v>
      </c>
      <c r="D16" s="22">
        <v>0.60416666666666663</v>
      </c>
      <c r="E16" s="23"/>
      <c r="F16" s="23"/>
      <c r="G16" s="24">
        <f t="shared" ref="G16:G18" si="21">IF(C16-E16&gt;0,+C16-E16,0)</f>
        <v>0.27083333333333331</v>
      </c>
      <c r="H16" s="25">
        <f t="shared" ref="H16:H18" si="22">IF(F16-D16&gt;0,+F16-D16,0)</f>
        <v>0</v>
      </c>
      <c r="I16" s="25">
        <f t="shared" ref="I16:I18" si="23">SUM(G16:H16)</f>
        <v>0.27083333333333331</v>
      </c>
      <c r="J16" s="25">
        <f t="shared" ref="J16:J18" si="24">IF(C16-E16&lt;0,+(+C16-E16)*-1,0)</f>
        <v>0</v>
      </c>
      <c r="K16" s="25">
        <f t="shared" ref="K16:K18" si="25">IF(F16-D16&lt;0,+(+F16-D16)*-1,0)</f>
        <v>0.60416666666666663</v>
      </c>
      <c r="L16" s="26">
        <f t="shared" ref="L16:L18" si="26">+J16+K16</f>
        <v>0.60416666666666663</v>
      </c>
      <c r="M16" s="27">
        <v>0.25</v>
      </c>
      <c r="N16" s="11">
        <f t="shared" ref="N16:N18" si="27">IF((+M16-E16)&gt;0,(+M16-E16),0)</f>
        <v>0.25</v>
      </c>
      <c r="O16" s="28">
        <f t="shared" ref="O16:O18" si="28">+F16-E16</f>
        <v>0</v>
      </c>
      <c r="P16" s="28">
        <v>0.33333333333333331</v>
      </c>
      <c r="Q16" s="28">
        <f t="shared" ref="Q16:Q18" si="29">+O16-P16</f>
        <v>-0.33333333333333331</v>
      </c>
      <c r="R16" s="29"/>
      <c r="S16" s="10"/>
    </row>
    <row r="17" spans="1:19" ht="15.75" customHeight="1" x14ac:dyDescent="0.25">
      <c r="A17" s="19">
        <v>9</v>
      </c>
      <c r="B17" s="20">
        <v>46184</v>
      </c>
      <c r="C17" s="21">
        <v>0.27083333333333331</v>
      </c>
      <c r="D17" s="22">
        <v>0.60416666666666663</v>
      </c>
      <c r="E17" s="23"/>
      <c r="F17" s="23"/>
      <c r="G17" s="24">
        <f t="shared" si="21"/>
        <v>0.27083333333333331</v>
      </c>
      <c r="H17" s="25">
        <f t="shared" si="22"/>
        <v>0</v>
      </c>
      <c r="I17" s="25">
        <f t="shared" si="23"/>
        <v>0.27083333333333331</v>
      </c>
      <c r="J17" s="25">
        <f t="shared" si="24"/>
        <v>0</v>
      </c>
      <c r="K17" s="25">
        <f t="shared" si="25"/>
        <v>0.60416666666666663</v>
      </c>
      <c r="L17" s="26">
        <f t="shared" si="26"/>
        <v>0.60416666666666663</v>
      </c>
      <c r="M17" s="27">
        <v>0.25</v>
      </c>
      <c r="N17" s="11">
        <f t="shared" si="27"/>
        <v>0.25</v>
      </c>
      <c r="O17" s="28">
        <f t="shared" si="28"/>
        <v>0</v>
      </c>
      <c r="P17" s="28">
        <v>0.33333333333333331</v>
      </c>
      <c r="Q17" s="28">
        <f t="shared" si="29"/>
        <v>-0.33333333333333331</v>
      </c>
      <c r="R17" s="29"/>
      <c r="S17" s="10"/>
    </row>
    <row r="18" spans="1:19" ht="15.75" customHeight="1" x14ac:dyDescent="0.25">
      <c r="A18" s="19">
        <v>9</v>
      </c>
      <c r="B18" s="20">
        <v>46185</v>
      </c>
      <c r="C18" s="21">
        <v>0.27083333333333331</v>
      </c>
      <c r="D18" s="22">
        <v>0.60416666666666663</v>
      </c>
      <c r="E18" s="23"/>
      <c r="F18" s="23"/>
      <c r="G18" s="24">
        <f t="shared" si="21"/>
        <v>0.27083333333333331</v>
      </c>
      <c r="H18" s="25">
        <f t="shared" si="22"/>
        <v>0</v>
      </c>
      <c r="I18" s="25">
        <f t="shared" si="23"/>
        <v>0.27083333333333331</v>
      </c>
      <c r="J18" s="25">
        <f t="shared" si="24"/>
        <v>0</v>
      </c>
      <c r="K18" s="25">
        <f t="shared" si="25"/>
        <v>0.60416666666666663</v>
      </c>
      <c r="L18" s="26">
        <f t="shared" si="26"/>
        <v>0.60416666666666663</v>
      </c>
      <c r="M18" s="27">
        <v>0.25</v>
      </c>
      <c r="N18" s="11">
        <f t="shared" si="27"/>
        <v>0.25</v>
      </c>
      <c r="O18" s="28">
        <f t="shared" si="28"/>
        <v>0</v>
      </c>
      <c r="P18" s="28">
        <v>0.33333333333333331</v>
      </c>
      <c r="Q18" s="28">
        <f t="shared" si="29"/>
        <v>-0.33333333333333331</v>
      </c>
      <c r="R18" s="29"/>
      <c r="S18" s="10"/>
    </row>
    <row r="19" spans="1:19" ht="15.75" customHeight="1" x14ac:dyDescent="0.25">
      <c r="A19" s="30">
        <v>9</v>
      </c>
      <c r="B19" s="31">
        <v>46186</v>
      </c>
      <c r="C19" s="32">
        <v>0.27083333333333331</v>
      </c>
      <c r="D19" s="33">
        <v>0.60416666666666663</v>
      </c>
      <c r="E19" s="34"/>
      <c r="F19" s="34"/>
      <c r="G19" s="35">
        <f t="shared" ref="G19:G24" si="30">IF(C19-E19&gt;0,+C19-E19,0)</f>
        <v>0.27083333333333331</v>
      </c>
      <c r="H19" s="36">
        <f t="shared" ref="H19:H24" si="31">IF(F19-D19&gt;0,+F19-D19,0)</f>
        <v>0</v>
      </c>
      <c r="I19" s="36">
        <f t="shared" ref="I19:I24" si="32">SUM(G19:H19)</f>
        <v>0.27083333333333331</v>
      </c>
      <c r="J19" s="36">
        <f>IF(C19-E19&lt;0,+(+C19-E19)*-1,0)</f>
        <v>0</v>
      </c>
      <c r="K19" s="36">
        <f t="shared" ref="K19:K24" si="33">IF(F19-D19&lt;0,+(+F19-D19)*-1,0)</f>
        <v>0.60416666666666663</v>
      </c>
      <c r="L19" s="37">
        <f t="shared" ref="L19:L24" si="34">+J19+K19</f>
        <v>0.60416666666666663</v>
      </c>
      <c r="M19" s="38"/>
      <c r="N19" s="39"/>
      <c r="O19" s="40">
        <f t="shared" ref="O19:O24" si="35">+F19-E19</f>
        <v>0</v>
      </c>
      <c r="P19" s="40"/>
      <c r="Q19" s="40"/>
      <c r="R19" s="40">
        <f>+F19-E19</f>
        <v>0</v>
      </c>
      <c r="S19" s="10"/>
    </row>
    <row r="20" spans="1:19" ht="16.5" customHeight="1" x14ac:dyDescent="0.25">
      <c r="A20" s="19">
        <v>9</v>
      </c>
      <c r="B20" s="20">
        <v>46188</v>
      </c>
      <c r="C20" s="21">
        <v>0.27083333333333331</v>
      </c>
      <c r="D20" s="22">
        <v>0.60416666666666663</v>
      </c>
      <c r="E20" s="23"/>
      <c r="F20" s="23"/>
      <c r="G20" s="24">
        <f t="shared" si="30"/>
        <v>0.27083333333333331</v>
      </c>
      <c r="H20" s="25">
        <f t="shared" si="31"/>
        <v>0</v>
      </c>
      <c r="I20" s="25">
        <f t="shared" si="32"/>
        <v>0.27083333333333331</v>
      </c>
      <c r="J20" s="25">
        <f t="shared" ref="J20:J24" si="36">IF(C20-E20&lt;0,+(+C20-E20)*-1,0)</f>
        <v>0</v>
      </c>
      <c r="K20" s="25">
        <f t="shared" si="33"/>
        <v>0.60416666666666663</v>
      </c>
      <c r="L20" s="26">
        <f t="shared" si="34"/>
        <v>0.60416666666666663</v>
      </c>
      <c r="M20" s="27">
        <v>0.25</v>
      </c>
      <c r="N20" s="11">
        <f t="shared" ref="N20:N24" si="37">IF((+M20-E20)&gt;0,(+M20-E20),0)</f>
        <v>0.25</v>
      </c>
      <c r="O20" s="28">
        <f t="shared" si="35"/>
        <v>0</v>
      </c>
      <c r="P20" s="28">
        <v>0.33333333333333331</v>
      </c>
      <c r="Q20" s="28">
        <f t="shared" ref="Q20:Q24" si="38">+O20-P20</f>
        <v>-0.33333333333333331</v>
      </c>
      <c r="R20" s="29"/>
      <c r="S20" s="10"/>
    </row>
    <row r="21" spans="1:19" ht="15.75" customHeight="1" x14ac:dyDescent="0.25">
      <c r="A21" s="19">
        <v>9</v>
      </c>
      <c r="B21" s="20">
        <v>46189</v>
      </c>
      <c r="C21" s="21">
        <v>0.27083333333333331</v>
      </c>
      <c r="D21" s="22">
        <v>0.60416666666666663</v>
      </c>
      <c r="E21" s="23"/>
      <c r="F21" s="23"/>
      <c r="G21" s="24">
        <f t="shared" si="30"/>
        <v>0.27083333333333331</v>
      </c>
      <c r="H21" s="25">
        <f t="shared" si="31"/>
        <v>0</v>
      </c>
      <c r="I21" s="25">
        <f t="shared" si="32"/>
        <v>0.27083333333333331</v>
      </c>
      <c r="J21" s="25">
        <f t="shared" si="36"/>
        <v>0</v>
      </c>
      <c r="K21" s="25">
        <f t="shared" si="33"/>
        <v>0.60416666666666663</v>
      </c>
      <c r="L21" s="26">
        <f t="shared" si="34"/>
        <v>0.60416666666666663</v>
      </c>
      <c r="M21" s="27">
        <v>0.25</v>
      </c>
      <c r="N21" s="11">
        <f t="shared" si="37"/>
        <v>0.25</v>
      </c>
      <c r="O21" s="28">
        <f t="shared" si="35"/>
        <v>0</v>
      </c>
      <c r="P21" s="28">
        <v>0.33333333333333331</v>
      </c>
      <c r="Q21" s="28">
        <f t="shared" si="38"/>
        <v>-0.33333333333333331</v>
      </c>
      <c r="R21" s="29"/>
      <c r="S21" s="10"/>
    </row>
    <row r="22" spans="1:19" ht="15.75" customHeight="1" x14ac:dyDescent="0.25">
      <c r="A22" s="19">
        <v>9</v>
      </c>
      <c r="B22" s="20">
        <v>46190</v>
      </c>
      <c r="C22" s="21">
        <v>0.27083333333333331</v>
      </c>
      <c r="D22" s="22">
        <v>0.60416666666666663</v>
      </c>
      <c r="E22" s="23"/>
      <c r="F22" s="23"/>
      <c r="G22" s="24">
        <f t="shared" si="30"/>
        <v>0.27083333333333331</v>
      </c>
      <c r="H22" s="25">
        <f t="shared" si="31"/>
        <v>0</v>
      </c>
      <c r="I22" s="25">
        <f t="shared" si="32"/>
        <v>0.27083333333333331</v>
      </c>
      <c r="J22" s="25">
        <f t="shared" si="36"/>
        <v>0</v>
      </c>
      <c r="K22" s="25">
        <f t="shared" si="33"/>
        <v>0.60416666666666663</v>
      </c>
      <c r="L22" s="26">
        <f t="shared" si="34"/>
        <v>0.60416666666666663</v>
      </c>
      <c r="M22" s="27">
        <v>0.25</v>
      </c>
      <c r="N22" s="11">
        <f t="shared" si="37"/>
        <v>0.25</v>
      </c>
      <c r="O22" s="28">
        <f t="shared" si="35"/>
        <v>0</v>
      </c>
      <c r="P22" s="28">
        <v>0.33333333333333331</v>
      </c>
      <c r="Q22" s="28">
        <f t="shared" si="38"/>
        <v>-0.33333333333333331</v>
      </c>
      <c r="R22" s="29"/>
      <c r="S22" s="10"/>
    </row>
    <row r="23" spans="1:19" ht="15.75" customHeight="1" x14ac:dyDescent="0.25">
      <c r="A23" s="19">
        <v>9</v>
      </c>
      <c r="B23" s="20">
        <v>46191</v>
      </c>
      <c r="C23" s="21">
        <v>0.27083333333333331</v>
      </c>
      <c r="D23" s="22">
        <v>0.60416666666666663</v>
      </c>
      <c r="E23" s="23"/>
      <c r="F23" s="23"/>
      <c r="G23" s="24">
        <f t="shared" si="30"/>
        <v>0.27083333333333331</v>
      </c>
      <c r="H23" s="25">
        <f t="shared" si="31"/>
        <v>0</v>
      </c>
      <c r="I23" s="25">
        <f t="shared" si="32"/>
        <v>0.27083333333333331</v>
      </c>
      <c r="J23" s="25">
        <f t="shared" si="36"/>
        <v>0</v>
      </c>
      <c r="K23" s="25">
        <f t="shared" si="33"/>
        <v>0.60416666666666663</v>
      </c>
      <c r="L23" s="26">
        <f t="shared" si="34"/>
        <v>0.60416666666666663</v>
      </c>
      <c r="M23" s="27">
        <v>0.25</v>
      </c>
      <c r="N23" s="11">
        <f t="shared" si="37"/>
        <v>0.25</v>
      </c>
      <c r="O23" s="28">
        <f t="shared" si="35"/>
        <v>0</v>
      </c>
      <c r="P23" s="28">
        <v>0.33333333333333331</v>
      </c>
      <c r="Q23" s="28">
        <f t="shared" si="38"/>
        <v>-0.33333333333333331</v>
      </c>
      <c r="R23" s="29"/>
      <c r="S23" s="10"/>
    </row>
    <row r="24" spans="1:19" ht="15.75" customHeight="1" x14ac:dyDescent="0.25">
      <c r="A24" s="19">
        <v>9</v>
      </c>
      <c r="B24" s="20">
        <v>46192</v>
      </c>
      <c r="C24" s="21">
        <v>0.27083333333333331</v>
      </c>
      <c r="D24" s="22">
        <v>0.60416666666666663</v>
      </c>
      <c r="E24" s="23"/>
      <c r="F24" s="23"/>
      <c r="G24" s="24">
        <f t="shared" si="30"/>
        <v>0.27083333333333331</v>
      </c>
      <c r="H24" s="25">
        <f t="shared" si="31"/>
        <v>0</v>
      </c>
      <c r="I24" s="25">
        <f t="shared" si="32"/>
        <v>0.27083333333333331</v>
      </c>
      <c r="J24" s="25">
        <f t="shared" si="36"/>
        <v>0</v>
      </c>
      <c r="K24" s="25">
        <f t="shared" si="33"/>
        <v>0.60416666666666663</v>
      </c>
      <c r="L24" s="26">
        <f t="shared" si="34"/>
        <v>0.60416666666666663</v>
      </c>
      <c r="M24" s="27">
        <v>0.25</v>
      </c>
      <c r="N24" s="11">
        <f t="shared" si="37"/>
        <v>0.25</v>
      </c>
      <c r="O24" s="28">
        <f t="shared" si="35"/>
        <v>0</v>
      </c>
      <c r="P24" s="28">
        <v>0.33333333333333331</v>
      </c>
      <c r="Q24" s="28">
        <f t="shared" si="38"/>
        <v>-0.33333333333333331</v>
      </c>
      <c r="R24" s="29"/>
      <c r="S24" s="10"/>
    </row>
    <row r="25" spans="1:19" ht="15.75" customHeight="1" x14ac:dyDescent="0.25">
      <c r="A25" s="30">
        <v>9</v>
      </c>
      <c r="B25" s="31">
        <v>46193</v>
      </c>
      <c r="C25" s="32">
        <v>0.27083333333333331</v>
      </c>
      <c r="D25" s="33">
        <v>0.60416666666666663</v>
      </c>
      <c r="E25" s="34"/>
      <c r="F25" s="34"/>
      <c r="G25" s="35">
        <f t="shared" ref="G25:G33" si="39">IF(C25-E25&gt;0,+C25-E25,0)</f>
        <v>0.27083333333333331</v>
      </c>
      <c r="H25" s="36">
        <f t="shared" ref="H25:H33" si="40">IF(F25-D25&gt;0,+F25-D25,0)</f>
        <v>0</v>
      </c>
      <c r="I25" s="36">
        <f t="shared" ref="I25:I33" si="41">SUM(G25:H25)</f>
        <v>0.27083333333333331</v>
      </c>
      <c r="J25" s="36">
        <f>IF(C25-E25&lt;0,+(+C25-E25)*-1,0)</f>
        <v>0</v>
      </c>
      <c r="K25" s="36">
        <f t="shared" ref="K25:K33" si="42">IF(F25-D25&lt;0,+(+F25-D25)*-1,0)</f>
        <v>0.60416666666666663</v>
      </c>
      <c r="L25" s="37">
        <f t="shared" ref="L25:L33" si="43">+J25+K25</f>
        <v>0.60416666666666663</v>
      </c>
      <c r="M25" s="38"/>
      <c r="N25" s="39"/>
      <c r="O25" s="40">
        <f t="shared" ref="O25:O33" si="44">+F25-E25</f>
        <v>0</v>
      </c>
      <c r="P25" s="40"/>
      <c r="Q25" s="40"/>
      <c r="R25" s="40">
        <f>+F25-E25</f>
        <v>0</v>
      </c>
      <c r="S25" s="10"/>
    </row>
    <row r="26" spans="1:19" ht="15.75" customHeight="1" x14ac:dyDescent="0.25">
      <c r="A26" s="19">
        <v>9</v>
      </c>
      <c r="B26" s="20">
        <v>46195</v>
      </c>
      <c r="C26" s="21">
        <v>0.27083333333333331</v>
      </c>
      <c r="D26" s="22">
        <v>0.60416666666666663</v>
      </c>
      <c r="E26" s="23"/>
      <c r="F26" s="23"/>
      <c r="G26" s="24">
        <f t="shared" si="39"/>
        <v>0.27083333333333331</v>
      </c>
      <c r="H26" s="25">
        <f t="shared" si="40"/>
        <v>0</v>
      </c>
      <c r="I26" s="25">
        <f t="shared" si="41"/>
        <v>0.27083333333333331</v>
      </c>
      <c r="J26" s="25">
        <f t="shared" ref="J26" si="45">IF(C26-E26&lt;0,+(+C26-E26)*-1,0)</f>
        <v>0</v>
      </c>
      <c r="K26" s="25">
        <f t="shared" si="42"/>
        <v>0.60416666666666663</v>
      </c>
      <c r="L26" s="26">
        <f t="shared" si="43"/>
        <v>0.60416666666666663</v>
      </c>
      <c r="M26" s="27">
        <v>0.25</v>
      </c>
      <c r="N26" s="11">
        <f t="shared" ref="N26" si="46">IF((+M26-E26)&gt;0,(+M26-E26),0)</f>
        <v>0.25</v>
      </c>
      <c r="O26" s="28">
        <f t="shared" si="44"/>
        <v>0</v>
      </c>
      <c r="P26" s="28">
        <v>0.33333333333333331</v>
      </c>
      <c r="Q26" s="28">
        <f t="shared" ref="Q26" si="47">+O26-P26</f>
        <v>-0.33333333333333331</v>
      </c>
      <c r="R26" s="29"/>
      <c r="S26" s="10"/>
    </row>
    <row r="27" spans="1:19" ht="15.75" customHeight="1" x14ac:dyDescent="0.25">
      <c r="A27" s="19">
        <v>9</v>
      </c>
      <c r="B27" s="20">
        <v>46196</v>
      </c>
      <c r="C27" s="21">
        <v>0.27083333333333331</v>
      </c>
      <c r="D27" s="22">
        <v>0.60416666666666663</v>
      </c>
      <c r="E27" s="23"/>
      <c r="F27" s="23"/>
      <c r="G27" s="24">
        <f t="shared" si="39"/>
        <v>0.27083333333333331</v>
      </c>
      <c r="H27" s="25">
        <f t="shared" si="40"/>
        <v>0</v>
      </c>
      <c r="I27" s="25">
        <f t="shared" si="41"/>
        <v>0.27083333333333331</v>
      </c>
      <c r="J27" s="25">
        <f t="shared" ref="J27:J30" si="48">IF(C27-E27&lt;0,+(+C27-E27)*-1,0)</f>
        <v>0</v>
      </c>
      <c r="K27" s="25">
        <f t="shared" si="42"/>
        <v>0.60416666666666663</v>
      </c>
      <c r="L27" s="26">
        <f t="shared" si="43"/>
        <v>0.60416666666666663</v>
      </c>
      <c r="M27" s="27">
        <v>0.25</v>
      </c>
      <c r="N27" s="11">
        <f t="shared" ref="N27:N30" si="49">IF((+M27-E27)&gt;0,(+M27-E27),0)</f>
        <v>0.25</v>
      </c>
      <c r="O27" s="28">
        <f t="shared" si="44"/>
        <v>0</v>
      </c>
      <c r="P27" s="28">
        <v>0.33333333333333331</v>
      </c>
      <c r="Q27" s="28">
        <f t="shared" ref="Q27:Q30" si="50">+O27-P27</f>
        <v>-0.33333333333333331</v>
      </c>
      <c r="R27" s="29"/>
      <c r="S27" s="10"/>
    </row>
    <row r="28" spans="1:19" ht="15.75" customHeight="1" x14ac:dyDescent="0.25">
      <c r="A28" s="19">
        <v>9</v>
      </c>
      <c r="B28" s="20">
        <v>46197</v>
      </c>
      <c r="C28" s="21">
        <v>0.27083333333333331</v>
      </c>
      <c r="D28" s="22">
        <v>0.60416666666666663</v>
      </c>
      <c r="E28" s="23"/>
      <c r="F28" s="23"/>
      <c r="G28" s="24">
        <f t="shared" si="39"/>
        <v>0.27083333333333331</v>
      </c>
      <c r="H28" s="25">
        <f t="shared" si="40"/>
        <v>0</v>
      </c>
      <c r="I28" s="25">
        <f t="shared" si="41"/>
        <v>0.27083333333333331</v>
      </c>
      <c r="J28" s="25">
        <f t="shared" si="48"/>
        <v>0</v>
      </c>
      <c r="K28" s="25">
        <f t="shared" si="42"/>
        <v>0.60416666666666663</v>
      </c>
      <c r="L28" s="26">
        <f t="shared" si="43"/>
        <v>0.60416666666666663</v>
      </c>
      <c r="M28" s="27">
        <v>0.25</v>
      </c>
      <c r="N28" s="11">
        <f t="shared" si="49"/>
        <v>0.25</v>
      </c>
      <c r="O28" s="28">
        <f t="shared" si="44"/>
        <v>0</v>
      </c>
      <c r="P28" s="28">
        <v>0.33333333333333331</v>
      </c>
      <c r="Q28" s="28">
        <f t="shared" si="50"/>
        <v>-0.33333333333333331</v>
      </c>
      <c r="R28" s="29"/>
      <c r="S28" s="10"/>
    </row>
    <row r="29" spans="1:19" ht="15.75" customHeight="1" x14ac:dyDescent="0.25">
      <c r="A29" s="19">
        <v>9</v>
      </c>
      <c r="B29" s="20">
        <v>46198</v>
      </c>
      <c r="C29" s="21">
        <v>0.27083333333333331</v>
      </c>
      <c r="D29" s="22">
        <v>0.60416666666666663</v>
      </c>
      <c r="E29" s="23"/>
      <c r="F29" s="23"/>
      <c r="G29" s="24">
        <f t="shared" si="39"/>
        <v>0.27083333333333331</v>
      </c>
      <c r="H29" s="25">
        <f t="shared" si="40"/>
        <v>0</v>
      </c>
      <c r="I29" s="25">
        <f t="shared" si="41"/>
        <v>0.27083333333333331</v>
      </c>
      <c r="J29" s="25">
        <f t="shared" si="48"/>
        <v>0</v>
      </c>
      <c r="K29" s="25">
        <f t="shared" si="42"/>
        <v>0.60416666666666663</v>
      </c>
      <c r="L29" s="26">
        <f t="shared" si="43"/>
        <v>0.60416666666666663</v>
      </c>
      <c r="M29" s="27">
        <v>0.25</v>
      </c>
      <c r="N29" s="11">
        <f t="shared" si="49"/>
        <v>0.25</v>
      </c>
      <c r="O29" s="28">
        <f t="shared" si="44"/>
        <v>0</v>
      </c>
      <c r="P29" s="28">
        <v>0.33333333333333331</v>
      </c>
      <c r="Q29" s="28">
        <f t="shared" si="50"/>
        <v>-0.33333333333333331</v>
      </c>
      <c r="R29" s="29"/>
      <c r="S29" s="10"/>
    </row>
    <row r="30" spans="1:19" ht="15.75" customHeight="1" x14ac:dyDescent="0.25">
      <c r="A30" s="19">
        <v>9</v>
      </c>
      <c r="B30" s="20">
        <v>46199</v>
      </c>
      <c r="C30" s="21">
        <v>0.27083333333333331</v>
      </c>
      <c r="D30" s="22">
        <v>0.60416666666666663</v>
      </c>
      <c r="E30" s="23"/>
      <c r="F30" s="23"/>
      <c r="G30" s="24">
        <f t="shared" si="39"/>
        <v>0.27083333333333331</v>
      </c>
      <c r="H30" s="25">
        <f t="shared" si="40"/>
        <v>0</v>
      </c>
      <c r="I30" s="25">
        <f t="shared" si="41"/>
        <v>0.27083333333333331</v>
      </c>
      <c r="J30" s="25">
        <f t="shared" si="48"/>
        <v>0</v>
      </c>
      <c r="K30" s="25">
        <f t="shared" si="42"/>
        <v>0.60416666666666663</v>
      </c>
      <c r="L30" s="26">
        <f t="shared" si="43"/>
        <v>0.60416666666666663</v>
      </c>
      <c r="M30" s="27">
        <v>0.25</v>
      </c>
      <c r="N30" s="11">
        <f t="shared" si="49"/>
        <v>0.25</v>
      </c>
      <c r="O30" s="28">
        <f t="shared" si="44"/>
        <v>0</v>
      </c>
      <c r="P30" s="28">
        <v>0.33333333333333331</v>
      </c>
      <c r="Q30" s="28">
        <f t="shared" si="50"/>
        <v>-0.33333333333333331</v>
      </c>
      <c r="R30" s="29"/>
      <c r="S30" s="10"/>
    </row>
    <row r="31" spans="1:19" ht="15.75" customHeight="1" x14ac:dyDescent="0.25">
      <c r="A31" s="30">
        <v>9</v>
      </c>
      <c r="B31" s="31">
        <v>46200</v>
      </c>
      <c r="C31" s="32">
        <v>0.27083333333333331</v>
      </c>
      <c r="D31" s="33">
        <v>0.60416666666666663</v>
      </c>
      <c r="E31" s="34"/>
      <c r="F31" s="34"/>
      <c r="G31" s="35">
        <f t="shared" si="39"/>
        <v>0.27083333333333331</v>
      </c>
      <c r="H31" s="36">
        <f t="shared" si="40"/>
        <v>0</v>
      </c>
      <c r="I31" s="36">
        <f t="shared" si="41"/>
        <v>0.27083333333333331</v>
      </c>
      <c r="J31" s="36">
        <f>IF(C31-E31&lt;0,+(+C31-E31)*-1,0)</f>
        <v>0</v>
      </c>
      <c r="K31" s="36">
        <f t="shared" si="42"/>
        <v>0.60416666666666663</v>
      </c>
      <c r="L31" s="37">
        <f t="shared" si="43"/>
        <v>0.60416666666666663</v>
      </c>
      <c r="M31" s="38"/>
      <c r="N31" s="39"/>
      <c r="O31" s="40">
        <f t="shared" si="44"/>
        <v>0</v>
      </c>
      <c r="P31" s="40"/>
      <c r="Q31" s="40"/>
      <c r="R31" s="40">
        <f>+F31-E31</f>
        <v>0</v>
      </c>
      <c r="S31" s="10"/>
    </row>
    <row r="32" spans="1:19" ht="15.75" customHeight="1" x14ac:dyDescent="0.25">
      <c r="A32" s="19">
        <v>9</v>
      </c>
      <c r="B32" s="20">
        <v>46202</v>
      </c>
      <c r="C32" s="21">
        <v>0.27083333333333331</v>
      </c>
      <c r="D32" s="22">
        <v>0.60416666666666663</v>
      </c>
      <c r="E32" s="23"/>
      <c r="F32" s="23"/>
      <c r="G32" s="24">
        <f t="shared" ref="G32:G33" si="51">IF(C32-E32&gt;0,+C32-E32,0)</f>
        <v>0.27083333333333331</v>
      </c>
      <c r="H32" s="25">
        <f t="shared" ref="H32:H33" si="52">IF(F32-D32&gt;0,+F32-D32,0)</f>
        <v>0</v>
      </c>
      <c r="I32" s="25">
        <f t="shared" ref="I32:I33" si="53">SUM(G32:H32)</f>
        <v>0.27083333333333331</v>
      </c>
      <c r="J32" s="25">
        <f t="shared" ref="J32:J33" si="54">IF(C32-E32&lt;0,+(+C32-E32)*-1,0)</f>
        <v>0</v>
      </c>
      <c r="K32" s="25">
        <f t="shared" ref="K32:K33" si="55">IF(F32-D32&lt;0,+(+F32-D32)*-1,0)</f>
        <v>0.60416666666666663</v>
      </c>
      <c r="L32" s="26">
        <f t="shared" ref="L32:L33" si="56">+J32+K32</f>
        <v>0.60416666666666663</v>
      </c>
      <c r="M32" s="27">
        <v>0.25</v>
      </c>
      <c r="N32" s="11">
        <f t="shared" ref="N32:N33" si="57">IF((+M32-E32)&gt;0,(+M32-E32),0)</f>
        <v>0.25</v>
      </c>
      <c r="O32" s="28">
        <f t="shared" ref="O32:O33" si="58">+F32-E32</f>
        <v>0</v>
      </c>
      <c r="P32" s="28">
        <v>0.33333333333333331</v>
      </c>
      <c r="Q32" s="28">
        <f t="shared" ref="Q32:Q33" si="59">+O32-P32</f>
        <v>-0.33333333333333331</v>
      </c>
      <c r="R32" s="29"/>
      <c r="S32" s="10"/>
    </row>
    <row r="33" spans="1:19" ht="15.75" customHeight="1" x14ac:dyDescent="0.25">
      <c r="A33" s="19">
        <v>9</v>
      </c>
      <c r="B33" s="20">
        <v>46203</v>
      </c>
      <c r="C33" s="21">
        <v>0.27083333333333331</v>
      </c>
      <c r="D33" s="22">
        <v>0.60416666666666663</v>
      </c>
      <c r="E33" s="23"/>
      <c r="F33" s="23"/>
      <c r="G33" s="24">
        <f t="shared" si="51"/>
        <v>0.27083333333333331</v>
      </c>
      <c r="H33" s="25">
        <f t="shared" si="52"/>
        <v>0</v>
      </c>
      <c r="I33" s="25">
        <f t="shared" si="53"/>
        <v>0.27083333333333331</v>
      </c>
      <c r="J33" s="25">
        <f t="shared" si="54"/>
        <v>0</v>
      </c>
      <c r="K33" s="25">
        <f t="shared" si="55"/>
        <v>0.60416666666666663</v>
      </c>
      <c r="L33" s="26">
        <f t="shared" si="56"/>
        <v>0.60416666666666663</v>
      </c>
      <c r="M33" s="27">
        <v>0.25</v>
      </c>
      <c r="N33" s="11">
        <f t="shared" si="57"/>
        <v>0.25</v>
      </c>
      <c r="O33" s="28">
        <f t="shared" si="58"/>
        <v>0</v>
      </c>
      <c r="P33" s="28">
        <v>0.33333333333333331</v>
      </c>
      <c r="Q33" s="28">
        <f t="shared" si="59"/>
        <v>-0.33333333333333331</v>
      </c>
      <c r="R33" s="29"/>
      <c r="S33" s="10"/>
    </row>
    <row r="34" spans="1:19" ht="24" customHeight="1" thickBot="1" x14ac:dyDescent="0.3">
      <c r="B34" s="41"/>
      <c r="G34" s="42"/>
      <c r="H34" s="43"/>
      <c r="I34" s="43"/>
      <c r="J34" s="43"/>
      <c r="K34" s="43"/>
      <c r="L34" s="44"/>
      <c r="M34" s="45"/>
      <c r="N34" s="46"/>
      <c r="O34" s="47"/>
      <c r="P34" s="47"/>
      <c r="Q34" s="46">
        <f>SUM(Q8:Q33)</f>
        <v>-7.3333333333333304</v>
      </c>
      <c r="R34" s="46">
        <f>SUM(R8:R33)</f>
        <v>0</v>
      </c>
    </row>
    <row r="35" spans="1:19" x14ac:dyDescent="0.25">
      <c r="G35" s="48"/>
      <c r="H35" s="48"/>
      <c r="I35" s="48"/>
      <c r="J35" s="48"/>
      <c r="K35" s="48"/>
      <c r="L35" s="48"/>
      <c r="N35" s="49"/>
      <c r="O35" s="50"/>
      <c r="P35" s="50"/>
      <c r="Q35" s="49"/>
      <c r="R35" s="49"/>
    </row>
    <row r="36" spans="1:19" x14ac:dyDescent="0.25">
      <c r="G36" s="48"/>
      <c r="H36" s="48"/>
      <c r="I36" s="48"/>
      <c r="J36" s="48"/>
      <c r="K36" s="48"/>
      <c r="L36" s="48"/>
      <c r="N36" s="49"/>
      <c r="O36" s="50"/>
      <c r="P36" s="50"/>
      <c r="Q36" s="51"/>
      <c r="R36" s="49"/>
    </row>
    <row r="37" spans="1:19" x14ac:dyDescent="0.25">
      <c r="O37" s="52"/>
      <c r="Q37" s="52"/>
    </row>
    <row r="38" spans="1:19" ht="14.25" thickBot="1" x14ac:dyDescent="0.3">
      <c r="A38" s="53"/>
    </row>
    <row r="39" spans="1:19" ht="54" x14ac:dyDescent="0.25">
      <c r="G39" s="74" t="s">
        <v>21</v>
      </c>
      <c r="H39" s="75"/>
      <c r="I39" s="54" t="s">
        <v>22</v>
      </c>
      <c r="J39" s="54" t="s">
        <v>23</v>
      </c>
      <c r="K39" s="55" t="s">
        <v>24</v>
      </c>
      <c r="L39" s="54" t="s">
        <v>25</v>
      </c>
      <c r="M39" s="56" t="s">
        <v>26</v>
      </c>
      <c r="N39" s="57" t="s">
        <v>27</v>
      </c>
      <c r="O39" s="58" t="s">
        <v>28</v>
      </c>
      <c r="P39" s="59" t="s">
        <v>29</v>
      </c>
    </row>
    <row r="40" spans="1:19" x14ac:dyDescent="0.25">
      <c r="A40" s="60"/>
      <c r="G40" s="29" t="s">
        <v>30</v>
      </c>
      <c r="H40" s="29"/>
      <c r="I40" s="61"/>
      <c r="J40" s="61"/>
      <c r="K40" s="69">
        <v>2.0083000000000002</v>
      </c>
      <c r="L40" s="62">
        <v>0.25</v>
      </c>
      <c r="M40" s="63">
        <f>+K40*L40</f>
        <v>0.50207500000000005</v>
      </c>
      <c r="N40" s="64">
        <f>+I40*M40</f>
        <v>0</v>
      </c>
      <c r="O40" s="61">
        <f>(+M40/60)*J40</f>
        <v>0</v>
      </c>
      <c r="P40" s="65">
        <f>+N40+O40</f>
        <v>0</v>
      </c>
    </row>
    <row r="41" spans="1:19" x14ac:dyDescent="0.25">
      <c r="A41" s="53"/>
      <c r="G41" s="29" t="s">
        <v>31</v>
      </c>
      <c r="H41" s="29"/>
      <c r="I41" s="61">
        <v>11</v>
      </c>
      <c r="J41" s="61">
        <v>59</v>
      </c>
      <c r="K41" s="69">
        <v>2.0083000000000002</v>
      </c>
      <c r="L41" s="62">
        <v>1.5</v>
      </c>
      <c r="M41" s="63">
        <f>+K41*L41</f>
        <v>3.0124500000000003</v>
      </c>
      <c r="N41" s="64">
        <f>+I41*M41</f>
        <v>33.136950000000006</v>
      </c>
      <c r="O41" s="61">
        <f>(+M41/60)*J41</f>
        <v>2.9622425000000003</v>
      </c>
      <c r="P41" s="65">
        <f t="shared" ref="P41:P42" si="60">+N41+O41</f>
        <v>36.099192500000008</v>
      </c>
    </row>
    <row r="42" spans="1:19" x14ac:dyDescent="0.25">
      <c r="G42" s="29" t="s">
        <v>32</v>
      </c>
      <c r="H42" s="29"/>
      <c r="I42" s="61">
        <v>55</v>
      </c>
      <c r="J42" s="61">
        <v>12</v>
      </c>
      <c r="K42" s="69">
        <v>2.0083000000000002</v>
      </c>
      <c r="L42" s="62">
        <v>2</v>
      </c>
      <c r="M42" s="63">
        <f>+K42*L42</f>
        <v>4.0166000000000004</v>
      </c>
      <c r="N42" s="64">
        <f>+I42*M42</f>
        <v>220.91300000000001</v>
      </c>
      <c r="O42" s="61">
        <f>(+M42/60)*J42</f>
        <v>0.80332000000000003</v>
      </c>
      <c r="P42" s="65">
        <f t="shared" si="60"/>
        <v>221.71632000000002</v>
      </c>
      <c r="Q42" s="6" t="s">
        <v>33</v>
      </c>
    </row>
    <row r="43" spans="1:19" ht="14.25" thickBot="1" x14ac:dyDescent="0.3">
      <c r="L43" s="29" t="s">
        <v>34</v>
      </c>
      <c r="M43" s="66"/>
      <c r="N43" s="67">
        <f>SUM(N40:N42)</f>
        <v>254.04995000000002</v>
      </c>
      <c r="O43" s="67">
        <f>SUM(O40:O42)</f>
        <v>3.7655625000000006</v>
      </c>
      <c r="P43" s="68">
        <f>SUM(P40:P42)</f>
        <v>257.81551250000001</v>
      </c>
      <c r="Q43" s="76" t="s">
        <v>35</v>
      </c>
      <c r="R43" s="76"/>
    </row>
  </sheetData>
  <mergeCells count="11">
    <mergeCell ref="G39:H39"/>
    <mergeCell ref="Q43:R43"/>
    <mergeCell ref="P2:P3"/>
    <mergeCell ref="A6:A7"/>
    <mergeCell ref="B6:B7"/>
    <mergeCell ref="C6:C7"/>
    <mergeCell ref="D6:D7"/>
    <mergeCell ref="E6:E7"/>
    <mergeCell ref="F6:F7"/>
    <mergeCell ref="G6:L6"/>
    <mergeCell ref="M6:R6"/>
  </mergeCells>
  <pageMargins left="0.70866141732283472" right="0.70866141732283472" top="0.74803149606299213" bottom="0.74803149606299213" header="0.31496062992125984" footer="0.31496062992125984"/>
  <pageSetup scale="61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</vt:lpstr>
      <vt:lpstr>CALCULO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2026-06-01T14:42:34Z</cp:lastPrinted>
  <dcterms:created xsi:type="dcterms:W3CDTF">2014-07-31T17:22:36Z</dcterms:created>
  <dcterms:modified xsi:type="dcterms:W3CDTF">2026-06-18T19:20:36Z</dcterms:modified>
</cp:coreProperties>
</file>