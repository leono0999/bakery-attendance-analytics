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kya\OneDrive\Escritorio\ARCHIVO1\ROLES de pago PANADERIA 2026\HORAS 2026 JUNIO\"/>
    </mc:Choice>
  </mc:AlternateContent>
  <xr:revisionPtr revIDLastSave="0" documentId="13_ncr:1_{F568F3C4-2F4F-4392-99B0-0F733290C57B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junio" sheetId="1" r:id="rId1"/>
    <sheet name="CALCULO 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2" l="1"/>
  <c r="R32" i="2" s="1"/>
  <c r="N32" i="2"/>
  <c r="L32" i="2"/>
  <c r="K32" i="2"/>
  <c r="J32" i="2"/>
  <c r="H32" i="2"/>
  <c r="I32" i="2" s="1"/>
  <c r="G32" i="2"/>
  <c r="O31" i="2"/>
  <c r="R31" i="2" s="1"/>
  <c r="N31" i="2"/>
  <c r="K31" i="2"/>
  <c r="J31" i="2"/>
  <c r="L31" i="2" s="1"/>
  <c r="I31" i="2"/>
  <c r="H31" i="2"/>
  <c r="G31" i="2"/>
  <c r="O25" i="2"/>
  <c r="R25" i="2" s="1"/>
  <c r="N25" i="2"/>
  <c r="K25" i="2"/>
  <c r="J25" i="2"/>
  <c r="L25" i="2" s="1"/>
  <c r="H25" i="2"/>
  <c r="G25" i="2"/>
  <c r="S30" i="2"/>
  <c r="O30" i="2"/>
  <c r="K30" i="2"/>
  <c r="J30" i="2"/>
  <c r="H30" i="2"/>
  <c r="G30" i="2"/>
  <c r="O28" i="2"/>
  <c r="R28" i="2" s="1"/>
  <c r="N28" i="2"/>
  <c r="K28" i="2"/>
  <c r="J28" i="2"/>
  <c r="H28" i="2"/>
  <c r="G28" i="2"/>
  <c r="O27" i="2"/>
  <c r="R27" i="2" s="1"/>
  <c r="N27" i="2"/>
  <c r="K27" i="2"/>
  <c r="J27" i="2"/>
  <c r="H27" i="2"/>
  <c r="G27" i="2"/>
  <c r="O26" i="2"/>
  <c r="R26" i="2" s="1"/>
  <c r="N26" i="2"/>
  <c r="K26" i="2"/>
  <c r="J26" i="2"/>
  <c r="H26" i="2"/>
  <c r="G26" i="2"/>
  <c r="S33" i="2"/>
  <c r="S12" i="2"/>
  <c r="O12" i="2"/>
  <c r="K12" i="2"/>
  <c r="J12" i="2"/>
  <c r="H12" i="2"/>
  <c r="G12" i="2"/>
  <c r="O9" i="2"/>
  <c r="R9" i="2" s="1"/>
  <c r="N9" i="2"/>
  <c r="K9" i="2"/>
  <c r="J9" i="2"/>
  <c r="H9" i="2"/>
  <c r="G9" i="2"/>
  <c r="O17" i="2"/>
  <c r="R17" i="2" s="1"/>
  <c r="N17" i="2"/>
  <c r="K17" i="2"/>
  <c r="J17" i="2"/>
  <c r="H17" i="2"/>
  <c r="G17" i="2"/>
  <c r="O16" i="2"/>
  <c r="R16" i="2" s="1"/>
  <c r="N16" i="2"/>
  <c r="K16" i="2"/>
  <c r="J16" i="2"/>
  <c r="H16" i="2"/>
  <c r="G16" i="2"/>
  <c r="I16" i="2" s="1"/>
  <c r="O15" i="2"/>
  <c r="R15" i="2" s="1"/>
  <c r="N15" i="2"/>
  <c r="K15" i="2"/>
  <c r="J15" i="2"/>
  <c r="H15" i="2"/>
  <c r="G15" i="2"/>
  <c r="O14" i="2"/>
  <c r="R14" i="2" s="1"/>
  <c r="N14" i="2"/>
  <c r="K14" i="2"/>
  <c r="J14" i="2"/>
  <c r="H14" i="2"/>
  <c r="G14" i="2"/>
  <c r="O13" i="2"/>
  <c r="R13" i="2" s="1"/>
  <c r="N13" i="2"/>
  <c r="K13" i="2"/>
  <c r="J13" i="2"/>
  <c r="H13" i="2"/>
  <c r="G13" i="2"/>
  <c r="O11" i="2"/>
  <c r="R11" i="2" s="1"/>
  <c r="N11" i="2"/>
  <c r="K11" i="2"/>
  <c r="J11" i="2"/>
  <c r="H11" i="2"/>
  <c r="G11" i="2"/>
  <c r="O10" i="2"/>
  <c r="R10" i="2" s="1"/>
  <c r="N10" i="2"/>
  <c r="K10" i="2"/>
  <c r="J10" i="2"/>
  <c r="H10" i="2"/>
  <c r="G10" i="2"/>
  <c r="O29" i="2"/>
  <c r="R29" i="2" s="1"/>
  <c r="N29" i="2"/>
  <c r="K29" i="2"/>
  <c r="J29" i="2"/>
  <c r="H29" i="2"/>
  <c r="G29" i="2"/>
  <c r="O22" i="2"/>
  <c r="R22" i="2" s="1"/>
  <c r="N22" i="2"/>
  <c r="K22" i="2"/>
  <c r="J22" i="2"/>
  <c r="H22" i="2"/>
  <c r="G22" i="2"/>
  <c r="S24" i="2"/>
  <c r="O24" i="2"/>
  <c r="K24" i="2"/>
  <c r="J24" i="2"/>
  <c r="H24" i="2"/>
  <c r="G24" i="2"/>
  <c r="O23" i="2"/>
  <c r="R23" i="2" s="1"/>
  <c r="N23" i="2"/>
  <c r="K23" i="2"/>
  <c r="J23" i="2"/>
  <c r="H23" i="2"/>
  <c r="G23" i="2"/>
  <c r="O21" i="2"/>
  <c r="R21" i="2" s="1"/>
  <c r="N21" i="2"/>
  <c r="K21" i="2"/>
  <c r="J21" i="2"/>
  <c r="H21" i="2"/>
  <c r="G21" i="2"/>
  <c r="O20" i="2"/>
  <c r="R20" i="2" s="1"/>
  <c r="N20" i="2"/>
  <c r="K20" i="2"/>
  <c r="J20" i="2"/>
  <c r="H20" i="2"/>
  <c r="G20" i="2"/>
  <c r="O19" i="2"/>
  <c r="R19" i="2" s="1"/>
  <c r="N19" i="2"/>
  <c r="K19" i="2"/>
  <c r="J19" i="2"/>
  <c r="H19" i="2"/>
  <c r="G19" i="2"/>
  <c r="S18" i="2"/>
  <c r="O18" i="2"/>
  <c r="K18" i="2"/>
  <c r="J18" i="2"/>
  <c r="H18" i="2"/>
  <c r="G18" i="2"/>
  <c r="O8" i="2"/>
  <c r="R8" i="2" s="1"/>
  <c r="N8" i="2"/>
  <c r="K8" i="2"/>
  <c r="J8" i="2"/>
  <c r="H8" i="2"/>
  <c r="G8" i="2"/>
  <c r="O7" i="2"/>
  <c r="R7" i="2" s="1"/>
  <c r="N7" i="2"/>
  <c r="K7" i="2"/>
  <c r="J7" i="2"/>
  <c r="H7" i="2"/>
  <c r="G7" i="2"/>
  <c r="I25" i="2" l="1"/>
  <c r="L26" i="2"/>
  <c r="I27" i="2"/>
  <c r="L28" i="2"/>
  <c r="I30" i="2"/>
  <c r="R33" i="2"/>
  <c r="L30" i="2"/>
  <c r="I28" i="2"/>
  <c r="L27" i="2"/>
  <c r="I26" i="2"/>
  <c r="L12" i="2"/>
  <c r="L9" i="2"/>
  <c r="I12" i="2"/>
  <c r="N33" i="2"/>
  <c r="I9" i="2"/>
  <c r="I17" i="2"/>
  <c r="L15" i="2"/>
  <c r="I15" i="2"/>
  <c r="I14" i="2"/>
  <c r="L13" i="2"/>
  <c r="L14" i="2"/>
  <c r="L17" i="2"/>
  <c r="L16" i="2"/>
  <c r="I13" i="2"/>
  <c r="I10" i="2"/>
  <c r="L11" i="2"/>
  <c r="I11" i="2"/>
  <c r="L29" i="2"/>
  <c r="I29" i="2"/>
  <c r="L10" i="2"/>
  <c r="I23" i="2"/>
  <c r="L23" i="2"/>
  <c r="I24" i="2"/>
  <c r="L22" i="2"/>
  <c r="I22" i="2"/>
  <c r="I21" i="2"/>
  <c r="I20" i="2"/>
  <c r="L20" i="2"/>
  <c r="L24" i="2"/>
  <c r="L19" i="2"/>
  <c r="I19" i="2"/>
  <c r="L21" i="2"/>
  <c r="I18" i="2"/>
  <c r="L18" i="2"/>
  <c r="L7" i="2"/>
  <c r="I8" i="2"/>
  <c r="I7" i="2"/>
  <c r="L8" i="2"/>
  <c r="M36" i="2" l="1"/>
  <c r="O36" i="2" s="1"/>
  <c r="N36" i="2" l="1"/>
  <c r="P36" i="2" s="1"/>
  <c r="M38" i="2" l="1"/>
  <c r="M37" i="2"/>
  <c r="N37" i="2" s="1"/>
  <c r="O38" i="2" l="1"/>
  <c r="N38" i="2"/>
  <c r="P38" i="2" s="1"/>
  <c r="O37" i="2"/>
  <c r="P37" i="2" s="1"/>
  <c r="P39" i="2" s="1"/>
  <c r="N39" i="2" l="1"/>
  <c r="O39" i="2"/>
</calcChain>
</file>

<file path=xl/sharedStrings.xml><?xml version="1.0" encoding="utf-8"?>
<sst xmlns="http://schemas.openxmlformats.org/spreadsheetml/2006/main" count="144" uniqueCount="78">
  <si>
    <t>JORGE CHAVEZ</t>
  </si>
  <si>
    <t>Entrada</t>
  </si>
  <si>
    <t>Salida</t>
  </si>
  <si>
    <t xml:space="preserve">    CONTROL ASISTENCIA</t>
  </si>
  <si>
    <t>Horas nocturnas, suplementarias y extraordinarias</t>
  </si>
  <si>
    <t>Cod.</t>
  </si>
  <si>
    <t>Fecha</t>
  </si>
  <si>
    <t>Marco Entrada</t>
  </si>
  <si>
    <t>Marco Salida</t>
  </si>
  <si>
    <t>TOTAL</t>
  </si>
  <si>
    <t>Atraso</t>
  </si>
  <si>
    <t>Salida Temprano</t>
  </si>
  <si>
    <t xml:space="preserve">Horas Nocturnas </t>
  </si>
  <si>
    <t>Horas suplementarias base</t>
  </si>
  <si>
    <t>Horas normales</t>
  </si>
  <si>
    <t>Comida</t>
  </si>
  <si>
    <t>Horas suplementarias</t>
  </si>
  <si>
    <t>Tipo horas</t>
  </si>
  <si>
    <t>No horas</t>
  </si>
  <si>
    <t>No. minutos</t>
  </si>
  <si>
    <t>Valor x  hora  US$</t>
  </si>
  <si>
    <t xml:space="preserve"> Recargo</t>
  </si>
  <si>
    <t>Valor x  hora con recargo                     US$</t>
  </si>
  <si>
    <t>Valor        horas          US$</t>
  </si>
  <si>
    <t>Valor        minutos          US$</t>
  </si>
  <si>
    <t>Valor total US$</t>
  </si>
  <si>
    <t>Horas nocturnas</t>
  </si>
  <si>
    <t>Horas suplemenarias</t>
  </si>
  <si>
    <t>Horas extraordinarias</t>
  </si>
  <si>
    <t>Total</t>
  </si>
  <si>
    <t>FIRMA CONFORME</t>
  </si>
  <si>
    <t>.</t>
  </si>
  <si>
    <t>AC-No.</t>
  </si>
  <si>
    <t>IMSS/CURP</t>
  </si>
  <si>
    <t>Nombre</t>
  </si>
  <si>
    <t>Fecha y hora</t>
  </si>
  <si>
    <t xml:space="preserve">Horas Extraordinarias </t>
  </si>
  <si>
    <t>ZAIDA DIDONATO</t>
  </si>
  <si>
    <t>CUENTA DE AHORROS</t>
  </si>
  <si>
    <t>BANCO PICHINCHA</t>
  </si>
  <si>
    <t>N: 6284367100</t>
  </si>
  <si>
    <t>Jorge Chavez</t>
  </si>
  <si>
    <t xml:space="preserve">cedula   0201444676 </t>
  </si>
  <si>
    <t>REPORTE HORAS RELOJ junio 2026</t>
  </si>
  <si>
    <t>2</t>
  </si>
  <si>
    <t>JORGE CH</t>
  </si>
  <si>
    <t>01/06/2026 06:56:22</t>
  </si>
  <si>
    <t>01/06/2026 15:04:57</t>
  </si>
  <si>
    <t>01/06/2026 15:04:59</t>
  </si>
  <si>
    <t>02/06/2026 06:57:49</t>
  </si>
  <si>
    <t>02/06/2026 20:35:36</t>
  </si>
  <si>
    <t>03/06/2026 06:57:08</t>
  </si>
  <si>
    <t>03/06/2026 15:08:22</t>
  </si>
  <si>
    <t>04/06/2026 06:58:22</t>
  </si>
  <si>
    <t>04/06/2026 20:36:34</t>
  </si>
  <si>
    <t>05/06/2026 06:58:20</t>
  </si>
  <si>
    <t>05/06/2026 15:09:25</t>
  </si>
  <si>
    <t>06/06/2026 06:56:42</t>
  </si>
  <si>
    <t>06/06/2026 20:09:46</t>
  </si>
  <si>
    <t>08/06/2026 06:58:41</t>
  </si>
  <si>
    <t>08/06/2026 20:35:46</t>
  </si>
  <si>
    <t>09/06/2026 06:57:52</t>
  </si>
  <si>
    <t>09/06/2026 15:06:56</t>
  </si>
  <si>
    <t>10/06/2026 06:58:25</t>
  </si>
  <si>
    <t>10/06/2026 20:37:30</t>
  </si>
  <si>
    <t>11/06/2026 06:58:48</t>
  </si>
  <si>
    <t>11/06/2026 15:13:56</t>
  </si>
  <si>
    <t>12/06/2026 06:58:40</t>
  </si>
  <si>
    <t>12/06/2026 20:35:07</t>
  </si>
  <si>
    <t>13/06/2026 06:55:08</t>
  </si>
  <si>
    <t>13/06/2026 20:13:03</t>
  </si>
  <si>
    <t>15/06/2026 06:58:25</t>
  </si>
  <si>
    <t>15/06/2026 15:02:07</t>
  </si>
  <si>
    <t>16/06/2026 06:56:55</t>
  </si>
  <si>
    <t>16/06/2026 20:40:09</t>
  </si>
  <si>
    <t>17/06/2026 06:57:41</t>
  </si>
  <si>
    <t>17/06/2026 15:33:37</t>
  </si>
  <si>
    <t>18/06/2026 06:57:35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</si>
</sst>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Tahoma"/>
      <family val="2"/>
    </font>
    <font>
      <sz val="9"/>
      <name val="Malgun Gothic"/>
      <family val="2"/>
    </font>
    <font>
      <u/>
      <sz val="9"/>
      <name val="Malgun Gothic"/>
      <family val="2"/>
    </font>
    <font>
      <sz val="10"/>
      <name val="Malgun Gothic"/>
      <family val="2"/>
    </font>
    <font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2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7" fillId="3" borderId="0" xfId="0" applyFont="1" applyFill="1"/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20" fontId="7" fillId="0" borderId="0" xfId="0" applyNumberFormat="1" applyFont="1"/>
    <xf numFmtId="0" fontId="7" fillId="0" borderId="3" xfId="0" applyFont="1" applyBorder="1" applyAlignment="1">
      <alignment horizontal="center" vertical="center" wrapText="1"/>
    </xf>
    <xf numFmtId="0" fontId="8" fillId="0" borderId="0" xfId="0" applyFont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left"/>
    </xf>
    <xf numFmtId="0" fontId="7" fillId="3" borderId="2" xfId="0" applyFont="1" applyFill="1" applyBorder="1" applyAlignment="1">
      <alignment horizontal="center" wrapText="1"/>
    </xf>
    <xf numFmtId="0" fontId="7" fillId="3" borderId="2" xfId="0" applyFont="1" applyFill="1" applyBorder="1"/>
    <xf numFmtId="0" fontId="9" fillId="0" borderId="2" xfId="0" applyFont="1" applyBorder="1"/>
    <xf numFmtId="14" fontId="9" fillId="3" borderId="2" xfId="1" applyNumberFormat="1" applyFont="1" applyFill="1" applyBorder="1" applyAlignment="1">
      <alignment horizontal="left"/>
    </xf>
    <xf numFmtId="21" fontId="9" fillId="0" borderId="2" xfId="0" applyNumberFormat="1" applyFont="1" applyBorder="1" applyAlignment="1">
      <alignment horizontal="left"/>
    </xf>
    <xf numFmtId="20" fontId="9" fillId="0" borderId="2" xfId="0" applyNumberFormat="1" applyFont="1" applyBorder="1" applyAlignment="1">
      <alignment horizontal="center"/>
    </xf>
    <xf numFmtId="21" fontId="9" fillId="0" borderId="2" xfId="0" applyNumberFormat="1" applyFont="1" applyBorder="1" applyAlignment="1">
      <alignment horizontal="right"/>
    </xf>
    <xf numFmtId="20" fontId="9" fillId="0" borderId="2" xfId="0" applyNumberFormat="1" applyFont="1" applyBorder="1" applyAlignment="1">
      <alignment horizontal="right"/>
    </xf>
    <xf numFmtId="21" fontId="9" fillId="0" borderId="2" xfId="0" applyNumberFormat="1" applyFont="1" applyBorder="1" applyAlignment="1">
      <alignment horizontal="center"/>
    </xf>
    <xf numFmtId="21" fontId="9" fillId="0" borderId="2" xfId="0" applyNumberFormat="1" applyFont="1" applyBorder="1"/>
    <xf numFmtId="21" fontId="9" fillId="3" borderId="2" xfId="0" applyNumberFormat="1" applyFont="1" applyFill="1" applyBorder="1"/>
    <xf numFmtId="0" fontId="9" fillId="2" borderId="2" xfId="0" applyFont="1" applyFill="1" applyBorder="1"/>
    <xf numFmtId="14" fontId="9" fillId="2" borderId="2" xfId="1" applyNumberFormat="1" applyFont="1" applyFill="1" applyBorder="1" applyAlignment="1">
      <alignment horizontal="left"/>
    </xf>
    <xf numFmtId="21" fontId="9" fillId="2" borderId="2" xfId="0" applyNumberFormat="1" applyFont="1" applyFill="1" applyBorder="1" applyAlignment="1">
      <alignment horizontal="left"/>
    </xf>
    <xf numFmtId="20" fontId="9" fillId="2" borderId="2" xfId="0" applyNumberFormat="1" applyFont="1" applyFill="1" applyBorder="1" applyAlignment="1">
      <alignment horizontal="center"/>
    </xf>
    <xf numFmtId="21" fontId="9" fillId="2" borderId="2" xfId="0" applyNumberFormat="1" applyFont="1" applyFill="1" applyBorder="1" applyAlignment="1">
      <alignment horizontal="right"/>
    </xf>
    <xf numFmtId="20" fontId="9" fillId="2" borderId="2" xfId="0" applyNumberFormat="1" applyFont="1" applyFill="1" applyBorder="1" applyAlignment="1">
      <alignment horizontal="right"/>
    </xf>
    <xf numFmtId="21" fontId="9" fillId="2" borderId="2" xfId="0" applyNumberFormat="1" applyFont="1" applyFill="1" applyBorder="1" applyAlignment="1">
      <alignment horizontal="center"/>
    </xf>
    <xf numFmtId="21" fontId="9" fillId="2" borderId="2" xfId="0" applyNumberFormat="1" applyFont="1" applyFill="1" applyBorder="1"/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/>
    </xf>
    <xf numFmtId="46" fontId="9" fillId="0" borderId="2" xfId="0" applyNumberFormat="1" applyFont="1" applyBorder="1"/>
    <xf numFmtId="0" fontId="9" fillId="0" borderId="0" xfId="0" applyFont="1"/>
    <xf numFmtId="14" fontId="9" fillId="0" borderId="0" xfId="1" applyNumberFormat="1" applyFont="1" applyAlignment="1">
      <alignment horizontal="left"/>
    </xf>
    <xf numFmtId="21" fontId="9" fillId="0" borderId="0" xfId="0" applyNumberFormat="1" applyFont="1" applyAlignment="1">
      <alignment horizontal="left"/>
    </xf>
    <xf numFmtId="20" fontId="9" fillId="0" borderId="0" xfId="0" applyNumberFormat="1" applyFont="1" applyAlignment="1">
      <alignment horizontal="center" vertical="top"/>
    </xf>
    <xf numFmtId="20" fontId="9" fillId="0" borderId="0" xfId="0" applyNumberFormat="1" applyFont="1" applyAlignment="1">
      <alignment horizontal="center"/>
    </xf>
    <xf numFmtId="21" fontId="9" fillId="0" borderId="17" xfId="0" applyNumberFormat="1" applyFont="1" applyBorder="1" applyAlignment="1">
      <alignment horizontal="right"/>
    </xf>
    <xf numFmtId="21" fontId="9" fillId="0" borderId="3" xfId="0" applyNumberFormat="1" applyFont="1" applyBorder="1" applyAlignment="1">
      <alignment horizontal="right"/>
    </xf>
    <xf numFmtId="20" fontId="9" fillId="0" borderId="18" xfId="0" applyNumberFormat="1" applyFont="1" applyBorder="1" applyAlignment="1">
      <alignment horizontal="right"/>
    </xf>
    <xf numFmtId="21" fontId="9" fillId="0" borderId="14" xfId="0" applyNumberFormat="1" applyFont="1" applyBorder="1" applyAlignment="1">
      <alignment horizontal="center"/>
    </xf>
    <xf numFmtId="21" fontId="9" fillId="0" borderId="17" xfId="0" applyNumberFormat="1" applyFont="1" applyBorder="1"/>
    <xf numFmtId="21" fontId="9" fillId="0" borderId="3" xfId="0" applyNumberFormat="1" applyFont="1" applyBorder="1"/>
    <xf numFmtId="21" fontId="9" fillId="0" borderId="18" xfId="0" applyNumberFormat="1" applyFont="1" applyBorder="1"/>
    <xf numFmtId="21" fontId="9" fillId="0" borderId="0" xfId="0" applyNumberFormat="1" applyFont="1"/>
    <xf numFmtId="49" fontId="9" fillId="0" borderId="0" xfId="0" applyNumberFormat="1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left"/>
    </xf>
    <xf numFmtId="2" fontId="9" fillId="0" borderId="2" xfId="0" applyNumberFormat="1" applyFont="1" applyBorder="1"/>
    <xf numFmtId="43" fontId="9" fillId="0" borderId="2" xfId="2" applyFont="1" applyBorder="1"/>
    <xf numFmtId="43" fontId="9" fillId="0" borderId="7" xfId="0" applyNumberFormat="1" applyFont="1" applyBorder="1"/>
    <xf numFmtId="2" fontId="9" fillId="0" borderId="8" xfId="2" applyNumberFormat="1" applyFont="1" applyBorder="1"/>
    <xf numFmtId="2" fontId="9" fillId="3" borderId="2" xfId="0" applyNumberFormat="1" applyFont="1" applyFill="1" applyBorder="1"/>
    <xf numFmtId="2" fontId="9" fillId="0" borderId="9" xfId="0" applyNumberFormat="1" applyFont="1" applyBorder="1"/>
    <xf numFmtId="0" fontId="9" fillId="0" borderId="14" xfId="0" applyFont="1" applyBorder="1"/>
    <xf numFmtId="0" fontId="9" fillId="0" borderId="7" xfId="0" applyFont="1" applyBorder="1"/>
    <xf numFmtId="2" fontId="9" fillId="0" borderId="10" xfId="0" applyNumberFormat="1" applyFont="1" applyBorder="1"/>
    <xf numFmtId="2" fontId="9" fillId="3" borderId="10" xfId="0" applyNumberFormat="1" applyFont="1" applyFill="1" applyBorder="1"/>
    <xf numFmtId="2" fontId="9" fillId="0" borderId="15" xfId="0" applyNumberFormat="1" applyFont="1" applyBorder="1"/>
    <xf numFmtId="20" fontId="7" fillId="0" borderId="0" xfId="0" applyNumberFormat="1" applyFont="1" applyAlignment="1">
      <alignment horizontal="center"/>
    </xf>
    <xf numFmtId="164" fontId="9" fillId="0" borderId="2" xfId="2" applyNumberFormat="1" applyFont="1" applyBorder="1"/>
    <xf numFmtId="0" fontId="7" fillId="3" borderId="2" xfId="0" applyFont="1" applyFill="1" applyBorder="1" applyAlignment="1">
      <alignment horizontal="center" vertical="center" wrapText="1"/>
    </xf>
    <xf numFmtId="49" fontId="6" fillId="4" borderId="0" xfId="0" applyNumberFormat="1" applyFont="1" applyFill="1" applyAlignment="1">
      <alignment horizontal="left" vertical="center"/>
    </xf>
    <xf numFmtId="49" fontId="6" fillId="4" borderId="2" xfId="0" applyNumberFormat="1" applyFont="1" applyFill="1" applyBorder="1" applyAlignment="1">
      <alignment horizontal="left" vertical="center"/>
    </xf>
    <xf numFmtId="49" fontId="10" fillId="4" borderId="19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1"/>
  <sheetViews>
    <sheetView topLeftCell="A8" workbookViewId="0">
      <selection activeCell="C27" sqref="C27"/>
    </sheetView>
  </sheetViews>
  <sheetFormatPr baseColWidth="10" defaultColWidth="17.85546875" defaultRowHeight="11.25" x14ac:dyDescent="0.2"/>
  <cols>
    <col min="1" max="1" width="8.5703125" style="3" customWidth="1"/>
    <col min="2" max="2" width="17.85546875" style="3"/>
    <col min="3" max="3" width="18.5703125" style="3" customWidth="1"/>
    <col min="4" max="4" width="17.85546875" style="5"/>
    <col min="5" max="16384" width="17.85546875" style="3"/>
  </cols>
  <sheetData>
    <row r="1" spans="1:4" x14ac:dyDescent="0.2">
      <c r="A1" s="2" t="s">
        <v>32</v>
      </c>
      <c r="B1" s="2" t="s">
        <v>33</v>
      </c>
      <c r="C1" s="2" t="s">
        <v>34</v>
      </c>
      <c r="D1" s="2" t="s">
        <v>35</v>
      </c>
    </row>
    <row r="2" spans="1:4" ht="18.75" customHeight="1" x14ac:dyDescent="0.2">
      <c r="A2" s="85" t="s">
        <v>44</v>
      </c>
      <c r="B2" s="85" t="s">
        <v>45</v>
      </c>
      <c r="C2" s="85" t="s">
        <v>46</v>
      </c>
      <c r="D2" s="3"/>
    </row>
    <row r="3" spans="1:4" ht="18.75" customHeight="1" x14ac:dyDescent="0.2">
      <c r="A3" s="85" t="s">
        <v>44</v>
      </c>
      <c r="B3" s="85" t="s">
        <v>45</v>
      </c>
      <c r="C3" s="85" t="s">
        <v>47</v>
      </c>
      <c r="D3" s="3"/>
    </row>
    <row r="4" spans="1:4" ht="18.75" customHeight="1" x14ac:dyDescent="0.2">
      <c r="A4" s="85" t="s">
        <v>44</v>
      </c>
      <c r="B4" s="85" t="s">
        <v>45</v>
      </c>
      <c r="C4" s="85" t="s">
        <v>48</v>
      </c>
      <c r="D4" s="3"/>
    </row>
    <row r="5" spans="1:4" ht="18.75" customHeight="1" x14ac:dyDescent="0.2">
      <c r="A5" s="85" t="s">
        <v>44</v>
      </c>
      <c r="B5" s="85" t="s">
        <v>45</v>
      </c>
      <c r="C5" s="85" t="s">
        <v>49</v>
      </c>
      <c r="D5" s="3"/>
    </row>
    <row r="6" spans="1:4" ht="18.75" customHeight="1" x14ac:dyDescent="0.2">
      <c r="A6" s="85" t="s">
        <v>44</v>
      </c>
      <c r="B6" s="85" t="s">
        <v>45</v>
      </c>
      <c r="C6" s="85" t="s">
        <v>50</v>
      </c>
      <c r="D6" s="3"/>
    </row>
    <row r="7" spans="1:4" ht="18.75" customHeight="1" x14ac:dyDescent="0.2">
      <c r="A7" s="85" t="s">
        <v>44</v>
      </c>
      <c r="B7" s="85" t="s">
        <v>45</v>
      </c>
      <c r="C7" s="85" t="s">
        <v>51</v>
      </c>
      <c r="D7" s="3"/>
    </row>
    <row r="8" spans="1:4" ht="18.75" customHeight="1" x14ac:dyDescent="0.2">
      <c r="A8" s="85" t="s">
        <v>44</v>
      </c>
      <c r="B8" s="85" t="s">
        <v>45</v>
      </c>
      <c r="C8" s="85" t="s">
        <v>52</v>
      </c>
      <c r="D8" s="3"/>
    </row>
    <row r="9" spans="1:4" ht="18.75" customHeight="1" x14ac:dyDescent="0.2">
      <c r="A9" s="85" t="s">
        <v>44</v>
      </c>
      <c r="B9" s="85" t="s">
        <v>45</v>
      </c>
      <c r="C9" s="85" t="s">
        <v>53</v>
      </c>
      <c r="D9" s="3"/>
    </row>
    <row r="10" spans="1:4" ht="18.75" customHeight="1" x14ac:dyDescent="0.2">
      <c r="A10" s="85" t="s">
        <v>44</v>
      </c>
      <c r="B10" s="85" t="s">
        <v>45</v>
      </c>
      <c r="C10" s="85" t="s">
        <v>54</v>
      </c>
      <c r="D10" s="3"/>
    </row>
    <row r="11" spans="1:4" ht="18.75" customHeight="1" x14ac:dyDescent="0.2">
      <c r="A11" s="85" t="s">
        <v>44</v>
      </c>
      <c r="B11" s="85" t="s">
        <v>45</v>
      </c>
      <c r="C11" s="85" t="s">
        <v>55</v>
      </c>
      <c r="D11" s="3"/>
    </row>
    <row r="12" spans="1:4" ht="18.75" customHeight="1" x14ac:dyDescent="0.2">
      <c r="A12" s="85" t="s">
        <v>44</v>
      </c>
      <c r="B12" s="85" t="s">
        <v>45</v>
      </c>
      <c r="C12" s="85" t="s">
        <v>56</v>
      </c>
      <c r="D12" s="3"/>
    </row>
    <row r="13" spans="1:4" ht="18.75" customHeight="1" x14ac:dyDescent="0.2">
      <c r="A13" s="85" t="s">
        <v>44</v>
      </c>
      <c r="B13" s="85" t="s">
        <v>45</v>
      </c>
      <c r="C13" s="85" t="s">
        <v>57</v>
      </c>
      <c r="D13" s="3"/>
    </row>
    <row r="14" spans="1:4" ht="18.75" customHeight="1" x14ac:dyDescent="0.2">
      <c r="A14" s="85" t="s">
        <v>44</v>
      </c>
      <c r="B14" s="85" t="s">
        <v>45</v>
      </c>
      <c r="C14" s="85" t="s">
        <v>58</v>
      </c>
      <c r="D14" s="3"/>
    </row>
    <row r="15" spans="1:4" ht="18.75" customHeight="1" x14ac:dyDescent="0.2">
      <c r="A15" s="85" t="s">
        <v>44</v>
      </c>
      <c r="B15" s="85" t="s">
        <v>45</v>
      </c>
      <c r="C15" s="85" t="s">
        <v>59</v>
      </c>
      <c r="D15" s="3"/>
    </row>
    <row r="16" spans="1:4" ht="18.75" customHeight="1" x14ac:dyDescent="0.2">
      <c r="A16" s="85" t="s">
        <v>44</v>
      </c>
      <c r="B16" s="85" t="s">
        <v>45</v>
      </c>
      <c r="C16" s="85" t="s">
        <v>60</v>
      </c>
      <c r="D16" s="3"/>
    </row>
    <row r="17" spans="1:3" s="3" customFormat="1" ht="18.75" customHeight="1" x14ac:dyDescent="0.2">
      <c r="A17" s="85" t="s">
        <v>44</v>
      </c>
      <c r="B17" s="85" t="s">
        <v>45</v>
      </c>
      <c r="C17" s="85" t="s">
        <v>61</v>
      </c>
    </row>
    <row r="18" spans="1:3" s="3" customFormat="1" ht="18.75" customHeight="1" x14ac:dyDescent="0.2">
      <c r="A18" s="85" t="s">
        <v>44</v>
      </c>
      <c r="B18" s="85" t="s">
        <v>45</v>
      </c>
      <c r="C18" s="85" t="s">
        <v>62</v>
      </c>
    </row>
    <row r="19" spans="1:3" s="3" customFormat="1" ht="18.75" customHeight="1" x14ac:dyDescent="0.2">
      <c r="A19" s="85" t="s">
        <v>44</v>
      </c>
      <c r="B19" s="85" t="s">
        <v>45</v>
      </c>
      <c r="C19" s="85" t="s">
        <v>63</v>
      </c>
    </row>
    <row r="20" spans="1:3" s="3" customFormat="1" ht="18.75" customHeight="1" x14ac:dyDescent="0.2">
      <c r="A20" s="85" t="s">
        <v>44</v>
      </c>
      <c r="B20" s="85" t="s">
        <v>45</v>
      </c>
      <c r="C20" s="85" t="s">
        <v>64</v>
      </c>
    </row>
    <row r="21" spans="1:3" s="3" customFormat="1" ht="18.75" customHeight="1" x14ac:dyDescent="0.2">
      <c r="A21" s="85" t="s">
        <v>44</v>
      </c>
      <c r="B21" s="85" t="s">
        <v>45</v>
      </c>
      <c r="C21" s="85" t="s">
        <v>65</v>
      </c>
    </row>
    <row r="22" spans="1:3" s="3" customFormat="1" ht="18.75" customHeight="1" x14ac:dyDescent="0.2">
      <c r="A22" s="85" t="s">
        <v>44</v>
      </c>
      <c r="B22" s="85" t="s">
        <v>45</v>
      </c>
      <c r="C22" s="85" t="s">
        <v>66</v>
      </c>
    </row>
    <row r="23" spans="1:3" s="3" customFormat="1" ht="18.75" customHeight="1" x14ac:dyDescent="0.2">
      <c r="A23" s="85" t="s">
        <v>44</v>
      </c>
      <c r="B23" s="85" t="s">
        <v>45</v>
      </c>
      <c r="C23" s="85" t="s">
        <v>67</v>
      </c>
    </row>
    <row r="24" spans="1:3" s="3" customFormat="1" ht="18.75" customHeight="1" x14ac:dyDescent="0.2">
      <c r="A24" s="85" t="s">
        <v>44</v>
      </c>
      <c r="B24" s="85" t="s">
        <v>45</v>
      </c>
      <c r="C24" s="85" t="s">
        <v>68</v>
      </c>
    </row>
    <row r="25" spans="1:3" s="3" customFormat="1" ht="18.75" customHeight="1" x14ac:dyDescent="0.2">
      <c r="A25" s="85" t="s">
        <v>44</v>
      </c>
      <c r="B25" s="85" t="s">
        <v>45</v>
      </c>
      <c r="C25" s="85" t="s">
        <v>69</v>
      </c>
    </row>
    <row r="26" spans="1:3" s="3" customFormat="1" ht="18.75" customHeight="1" x14ac:dyDescent="0.2">
      <c r="A26" s="85" t="s">
        <v>44</v>
      </c>
      <c r="B26" s="85" t="s">
        <v>45</v>
      </c>
      <c r="C26" s="85" t="s">
        <v>70</v>
      </c>
    </row>
    <row r="27" spans="1:3" s="3" customFormat="1" ht="18.75" customHeight="1" x14ac:dyDescent="0.2">
      <c r="A27" s="85" t="s">
        <v>44</v>
      </c>
      <c r="B27" s="85" t="s">
        <v>45</v>
      </c>
      <c r="C27" s="85" t="s">
        <v>71</v>
      </c>
    </row>
    <row r="28" spans="1:3" s="3" customFormat="1" ht="18.75" customHeight="1" x14ac:dyDescent="0.2">
      <c r="A28" s="85" t="s">
        <v>44</v>
      </c>
      <c r="B28" s="85" t="s">
        <v>45</v>
      </c>
      <c r="C28" s="85" t="s">
        <v>72</v>
      </c>
    </row>
    <row r="29" spans="1:3" s="3" customFormat="1" ht="18.75" customHeight="1" x14ac:dyDescent="0.2">
      <c r="A29" s="85" t="s">
        <v>44</v>
      </c>
      <c r="B29" s="85" t="s">
        <v>45</v>
      </c>
      <c r="C29" s="85" t="s">
        <v>73</v>
      </c>
    </row>
    <row r="30" spans="1:3" s="3" customFormat="1" ht="18.75" customHeight="1" x14ac:dyDescent="0.2">
      <c r="A30" s="85" t="s">
        <v>44</v>
      </c>
      <c r="B30" s="85" t="s">
        <v>45</v>
      </c>
      <c r="C30" s="85" t="s">
        <v>74</v>
      </c>
    </row>
    <row r="31" spans="1:3" s="3" customFormat="1" ht="18.75" customHeight="1" x14ac:dyDescent="0.2">
      <c r="A31" s="85" t="s">
        <v>44</v>
      </c>
      <c r="B31" s="85" t="s">
        <v>45</v>
      </c>
      <c r="C31" s="85" t="s">
        <v>75</v>
      </c>
    </row>
    <row r="32" spans="1:3" s="3" customFormat="1" ht="18.75" customHeight="1" x14ac:dyDescent="0.2">
      <c r="A32" s="85" t="s">
        <v>44</v>
      </c>
      <c r="B32" s="85" t="s">
        <v>45</v>
      </c>
      <c r="C32" s="85" t="s">
        <v>76</v>
      </c>
    </row>
    <row r="33" spans="1:3" s="3" customFormat="1" ht="18.75" customHeight="1" x14ac:dyDescent="0.2">
      <c r="A33" s="85" t="s">
        <v>44</v>
      </c>
      <c r="B33" s="85" t="s">
        <v>45</v>
      </c>
      <c r="C33" s="85" t="s">
        <v>77</v>
      </c>
    </row>
    <row r="34" spans="1:3" s="3" customFormat="1" ht="18.75" customHeight="1" x14ac:dyDescent="0.2">
      <c r="A34" s="85"/>
      <c r="B34" s="85"/>
      <c r="C34" s="85"/>
    </row>
    <row r="35" spans="1:3" s="3" customFormat="1" ht="18.75" customHeight="1" x14ac:dyDescent="0.2">
      <c r="A35" s="85"/>
      <c r="B35" s="85"/>
      <c r="C35" s="85"/>
    </row>
    <row r="36" spans="1:3" s="3" customFormat="1" ht="18.75" customHeight="1" x14ac:dyDescent="0.2">
      <c r="A36" s="85"/>
      <c r="B36" s="85"/>
      <c r="C36" s="85"/>
    </row>
    <row r="37" spans="1:3" s="3" customFormat="1" ht="18.75" customHeight="1" x14ac:dyDescent="0.2">
      <c r="A37" s="85"/>
      <c r="B37" s="85"/>
      <c r="C37" s="85"/>
    </row>
    <row r="38" spans="1:3" s="3" customFormat="1" ht="18.75" customHeight="1" x14ac:dyDescent="0.2">
      <c r="A38" s="85"/>
      <c r="B38" s="85"/>
      <c r="C38" s="85"/>
    </row>
    <row r="39" spans="1:3" s="3" customFormat="1" ht="18.75" customHeight="1" x14ac:dyDescent="0.2">
      <c r="A39" s="85"/>
      <c r="B39" s="85"/>
      <c r="C39" s="85"/>
    </row>
    <row r="40" spans="1:3" s="3" customFormat="1" ht="18.75" customHeight="1" x14ac:dyDescent="0.2">
      <c r="A40" s="85"/>
      <c r="B40" s="85"/>
      <c r="C40" s="85"/>
    </row>
    <row r="41" spans="1:3" s="3" customFormat="1" ht="18.75" customHeight="1" x14ac:dyDescent="0.2">
      <c r="A41" s="85"/>
      <c r="B41" s="85"/>
      <c r="C41" s="85"/>
    </row>
    <row r="42" spans="1:3" s="3" customFormat="1" ht="18.75" customHeight="1" x14ac:dyDescent="0.2">
      <c r="A42" s="85"/>
      <c r="B42" s="85"/>
      <c r="C42" s="85"/>
    </row>
    <row r="43" spans="1:3" s="3" customFormat="1" ht="18.75" customHeight="1" x14ac:dyDescent="0.2">
      <c r="A43" s="85"/>
      <c r="B43" s="85"/>
      <c r="C43" s="85"/>
    </row>
    <row r="44" spans="1:3" s="3" customFormat="1" ht="18.75" customHeight="1" x14ac:dyDescent="0.2">
      <c r="A44" s="85"/>
      <c r="B44" s="85"/>
      <c r="C44" s="85"/>
    </row>
    <row r="45" spans="1:3" s="3" customFormat="1" ht="18.75" customHeight="1" x14ac:dyDescent="0.2">
      <c r="A45" s="85"/>
      <c r="B45" s="85"/>
      <c r="C45" s="85"/>
    </row>
    <row r="46" spans="1:3" s="3" customFormat="1" ht="18.75" customHeight="1" x14ac:dyDescent="0.2">
      <c r="A46" s="85"/>
      <c r="B46" s="85"/>
      <c r="C46" s="85"/>
    </row>
    <row r="47" spans="1:3" s="3" customFormat="1" ht="18.75" customHeight="1" x14ac:dyDescent="0.2">
      <c r="A47" s="85"/>
      <c r="B47" s="85"/>
      <c r="C47" s="85"/>
    </row>
    <row r="48" spans="1:3" s="3" customFormat="1" ht="18.75" customHeight="1" x14ac:dyDescent="0.2">
      <c r="A48" s="85"/>
      <c r="B48" s="85"/>
      <c r="C48" s="85"/>
    </row>
    <row r="49" spans="1:4" ht="18.75" customHeight="1" x14ac:dyDescent="0.2">
      <c r="A49" s="85"/>
      <c r="B49" s="85"/>
      <c r="C49" s="85"/>
      <c r="D49" s="3"/>
    </row>
    <row r="50" spans="1:4" ht="18.75" customHeight="1" x14ac:dyDescent="0.2">
      <c r="A50" s="85"/>
      <c r="B50" s="85"/>
      <c r="C50" s="85"/>
      <c r="D50" s="4"/>
    </row>
    <row r="51" spans="1:4" ht="18.75" customHeight="1" x14ac:dyDescent="0.2">
      <c r="A51" s="85"/>
      <c r="B51" s="85"/>
      <c r="C51" s="85"/>
      <c r="D51" s="4"/>
    </row>
    <row r="52" spans="1:4" ht="18.75" customHeight="1" x14ac:dyDescent="0.2">
      <c r="A52" s="85"/>
      <c r="B52" s="85"/>
      <c r="C52" s="85"/>
      <c r="D52" s="4"/>
    </row>
    <row r="53" spans="1:4" ht="18.75" customHeight="1" x14ac:dyDescent="0.2">
      <c r="A53" s="85"/>
      <c r="B53" s="85"/>
      <c r="C53" s="85"/>
      <c r="D53" s="3"/>
    </row>
    <row r="54" spans="1:4" ht="18.75" customHeight="1" x14ac:dyDescent="0.2">
      <c r="A54" s="85"/>
      <c r="B54" s="85"/>
      <c r="C54" s="85"/>
      <c r="D54" s="3"/>
    </row>
    <row r="55" spans="1:4" ht="18.75" customHeight="1" x14ac:dyDescent="0.2">
      <c r="A55" s="85"/>
      <c r="B55" s="85"/>
      <c r="C55" s="85"/>
      <c r="D55" s="3"/>
    </row>
    <row r="56" spans="1:4" ht="18.75" customHeight="1" x14ac:dyDescent="0.2">
      <c r="A56" s="85"/>
      <c r="B56" s="85"/>
      <c r="C56" s="85"/>
      <c r="D56" s="3"/>
    </row>
    <row r="57" spans="1:4" ht="18.75" customHeight="1" x14ac:dyDescent="0.2">
      <c r="A57" s="84"/>
      <c r="B57" s="84"/>
      <c r="C57" s="84"/>
      <c r="D57" s="3"/>
    </row>
    <row r="58" spans="1:4" ht="18.75" customHeight="1" x14ac:dyDescent="0.2">
      <c r="A58" s="83"/>
      <c r="B58" s="83"/>
      <c r="C58" s="83"/>
      <c r="D58" s="3"/>
    </row>
    <row r="59" spans="1:4" ht="18.75" customHeight="1" x14ac:dyDescent="0.2">
      <c r="A59" s="83"/>
      <c r="B59" s="83"/>
      <c r="C59" s="83"/>
      <c r="D59" s="3"/>
    </row>
    <row r="60" spans="1:4" ht="18.75" customHeight="1" x14ac:dyDescent="0.2">
      <c r="A60" s="83"/>
      <c r="B60" s="83"/>
      <c r="C60" s="83"/>
      <c r="D60" s="3"/>
    </row>
    <row r="61" spans="1:4" x14ac:dyDescent="0.2">
      <c r="A61" s="83"/>
      <c r="B61" s="83"/>
      <c r="C61" s="83"/>
      <c r="D61" s="3"/>
    </row>
    <row r="62" spans="1:4" x14ac:dyDescent="0.2">
      <c r="D62" s="3"/>
    </row>
    <row r="63" spans="1:4" x14ac:dyDescent="0.2">
      <c r="D63" s="3"/>
    </row>
    <row r="64" spans="1:4" x14ac:dyDescent="0.2">
      <c r="D64" s="3"/>
    </row>
    <row r="65" s="3" customFormat="1" x14ac:dyDescent="0.2"/>
    <row r="66" s="3" customFormat="1" x14ac:dyDescent="0.2"/>
    <row r="67" s="3" customFormat="1" x14ac:dyDescent="0.2"/>
    <row r="68" s="3" customFormat="1" x14ac:dyDescent="0.2"/>
    <row r="69" s="3" customFormat="1" x14ac:dyDescent="0.2"/>
    <row r="70" s="3" customFormat="1" x14ac:dyDescent="0.2"/>
    <row r="71" s="3" customFormat="1" x14ac:dyDescent="0.2"/>
  </sheetData>
  <pageMargins left="0.74803149606299213" right="0.74803149606299213" top="0.98425196850393704" bottom="0.98425196850393704" header="0.51181102362204722" footer="0.51181102362204722"/>
  <pageSetup scale="56" orientation="portrait" horizontalDpi="4294967293" verticalDpi="72" r:id="rId1"/>
  <headerFooter>
    <oddFooter>Page &amp;P of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65272"/>
  <sheetViews>
    <sheetView tabSelected="1" topLeftCell="A6" workbookViewId="0">
      <selection activeCell="L18" sqref="L18"/>
    </sheetView>
  </sheetViews>
  <sheetFormatPr baseColWidth="10" defaultRowHeight="12" x14ac:dyDescent="0.2"/>
  <cols>
    <col min="1" max="1" width="3.42578125" style="6" customWidth="1"/>
    <col min="2" max="2" width="12.140625" style="7" customWidth="1"/>
    <col min="3" max="3" width="10.28515625" style="7" customWidth="1"/>
    <col min="4" max="4" width="10.5703125" style="7" customWidth="1"/>
    <col min="5" max="5" width="8.42578125" style="8" customWidth="1"/>
    <col min="6" max="6" width="9.5703125" style="9" customWidth="1"/>
    <col min="7" max="7" width="10" style="6" customWidth="1"/>
    <col min="8" max="8" width="11.7109375" style="6" customWidth="1"/>
    <col min="9" max="9" width="10.140625" style="6" bestFit="1" customWidth="1"/>
    <col min="10" max="11" width="9.85546875" style="6" customWidth="1"/>
    <col min="12" max="12" width="10" style="6" bestFit="1" customWidth="1"/>
    <col min="13" max="13" width="10" style="6" customWidth="1"/>
    <col min="14" max="14" width="10.5703125" style="6" customWidth="1"/>
    <col min="15" max="15" width="11.28515625" style="10" customWidth="1"/>
    <col min="16" max="16" width="10.7109375" style="6" customWidth="1"/>
    <col min="17" max="17" width="11.7109375" style="6" customWidth="1"/>
    <col min="18" max="18" width="12" style="6" customWidth="1"/>
    <col min="19" max="19" width="11.28515625" style="6" customWidth="1"/>
    <col min="20" max="20" width="8" style="6" customWidth="1"/>
    <col min="21" max="16384" width="11.42578125" style="6"/>
  </cols>
  <sheetData>
    <row r="1" spans="1:19" x14ac:dyDescent="0.2">
      <c r="A1" s="6" t="s">
        <v>37</v>
      </c>
    </row>
    <row r="2" spans="1:19" ht="18.75" customHeight="1" x14ac:dyDescent="0.2">
      <c r="A2" s="11" t="s">
        <v>43</v>
      </c>
      <c r="B2" s="12"/>
      <c r="C2" s="13"/>
      <c r="D2" s="13"/>
      <c r="J2" s="14"/>
      <c r="S2" s="15"/>
    </row>
    <row r="3" spans="1:19" x14ac:dyDescent="0.2">
      <c r="A3" s="6" t="s">
        <v>0</v>
      </c>
    </row>
    <row r="4" spans="1:19" ht="12.75" thickBot="1" x14ac:dyDescent="0.25">
      <c r="A4" s="16"/>
    </row>
    <row r="5" spans="1:19" x14ac:dyDescent="0.2">
      <c r="A5" s="16"/>
      <c r="G5" s="17"/>
      <c r="H5" s="18" t="s">
        <v>3</v>
      </c>
      <c r="I5" s="18"/>
      <c r="J5" s="18"/>
      <c r="K5" s="18"/>
      <c r="L5" s="19"/>
      <c r="M5" s="86" t="s">
        <v>4</v>
      </c>
      <c r="N5" s="87"/>
      <c r="O5" s="87"/>
      <c r="P5" s="87"/>
      <c r="Q5" s="87"/>
      <c r="R5" s="87"/>
      <c r="S5" s="87"/>
    </row>
    <row r="6" spans="1:19" ht="45" customHeight="1" x14ac:dyDescent="0.2">
      <c r="A6" s="20" t="s">
        <v>5</v>
      </c>
      <c r="B6" s="21" t="s">
        <v>6</v>
      </c>
      <c r="C6" s="21" t="s">
        <v>1</v>
      </c>
      <c r="D6" s="21" t="s">
        <v>2</v>
      </c>
      <c r="E6" s="82" t="s">
        <v>7</v>
      </c>
      <c r="F6" s="82" t="s">
        <v>8</v>
      </c>
      <c r="G6" s="23" t="s">
        <v>1</v>
      </c>
      <c r="H6" s="23" t="s">
        <v>2</v>
      </c>
      <c r="I6" s="23" t="s">
        <v>9</v>
      </c>
      <c r="J6" s="23" t="s">
        <v>10</v>
      </c>
      <c r="K6" s="22" t="s">
        <v>11</v>
      </c>
      <c r="L6" s="22" t="s">
        <v>9</v>
      </c>
      <c r="M6" s="22" t="s">
        <v>12</v>
      </c>
      <c r="N6" s="22" t="s">
        <v>12</v>
      </c>
      <c r="O6" s="22" t="s">
        <v>13</v>
      </c>
      <c r="P6" s="22" t="s">
        <v>14</v>
      </c>
      <c r="Q6" s="22" t="s">
        <v>15</v>
      </c>
      <c r="R6" s="22" t="s">
        <v>16</v>
      </c>
      <c r="S6" s="22" t="s">
        <v>36</v>
      </c>
    </row>
    <row r="7" spans="1:19" ht="13.5" x14ac:dyDescent="0.25">
      <c r="A7" s="24">
        <v>2</v>
      </c>
      <c r="B7" s="25">
        <v>46174</v>
      </c>
      <c r="C7" s="26">
        <v>0.29166666666666669</v>
      </c>
      <c r="D7" s="26">
        <v>0.85416666666666663</v>
      </c>
      <c r="E7" s="27"/>
      <c r="F7" s="27"/>
      <c r="G7" s="28">
        <f t="shared" ref="G7" si="0">IF(C7-E7&gt;0,+C7-E7,0)</f>
        <v>0.29166666666666669</v>
      </c>
      <c r="H7" s="28">
        <f t="shared" ref="H7" si="1">IF(F7-D7&gt;0,+F7-D7,0)</f>
        <v>0</v>
      </c>
      <c r="I7" s="28">
        <f t="shared" ref="I7" si="2">SUM(G7:H7)</f>
        <v>0.29166666666666669</v>
      </c>
      <c r="J7" s="28">
        <f t="shared" ref="J7" si="3">IF(C7-E7&lt;0,+(+C7-E7)*-1,0)</f>
        <v>0</v>
      </c>
      <c r="K7" s="28">
        <f t="shared" ref="K7" si="4">IF(F7-D7&lt;0,+(+F7-D7)*-1,0)</f>
        <v>0.85416666666666663</v>
      </c>
      <c r="L7" s="29">
        <f t="shared" ref="L7" si="5">+J7+K7</f>
        <v>0.85416666666666663</v>
      </c>
      <c r="M7" s="30">
        <v>0.25</v>
      </c>
      <c r="N7" s="31">
        <f t="shared" ref="N7:N8" si="6">IF((+M7-E7)&gt;0,(+M7-E7),0)</f>
        <v>0.25</v>
      </c>
      <c r="O7" s="32">
        <f t="shared" ref="O7" si="7">+(+F7-E7)</f>
        <v>0</v>
      </c>
      <c r="P7" s="31">
        <v>0.33333333333333331</v>
      </c>
      <c r="Q7" s="30"/>
      <c r="R7" s="31">
        <f t="shared" ref="R7:R8" si="8">IF((+O7-P7-Q7)&gt;0,(O7-P7-Q7),0)</f>
        <v>0</v>
      </c>
      <c r="S7" s="31"/>
    </row>
    <row r="8" spans="1:19" ht="13.5" x14ac:dyDescent="0.25">
      <c r="A8" s="24">
        <v>2</v>
      </c>
      <c r="B8" s="25">
        <v>46175</v>
      </c>
      <c r="C8" s="26">
        <v>0.29166666666666669</v>
      </c>
      <c r="D8" s="26">
        <v>0.85416666666666663</v>
      </c>
      <c r="E8" s="27"/>
      <c r="F8" s="27"/>
      <c r="G8" s="28">
        <f t="shared" ref="G8" si="9">IF(C8-E8&gt;0,+C8-E8,0)</f>
        <v>0.29166666666666669</v>
      </c>
      <c r="H8" s="28">
        <f t="shared" ref="H8" si="10">IF(F8-D8&gt;0,+F8-D8,0)</f>
        <v>0</v>
      </c>
      <c r="I8" s="28">
        <f t="shared" ref="I8" si="11">SUM(G8:H8)</f>
        <v>0.29166666666666669</v>
      </c>
      <c r="J8" s="28">
        <f t="shared" ref="J8" si="12">IF(C8-E8&lt;0,+(+C8-E8)*-1,0)</f>
        <v>0</v>
      </c>
      <c r="K8" s="28">
        <f t="shared" ref="K8" si="13">IF(F8-D8&lt;0,+(+F8-D8)*-1,0)</f>
        <v>0.85416666666666663</v>
      </c>
      <c r="L8" s="29">
        <f t="shared" ref="L8" si="14">+J8+K8</f>
        <v>0.85416666666666663</v>
      </c>
      <c r="M8" s="30">
        <v>0.25</v>
      </c>
      <c r="N8" s="31">
        <f t="shared" si="6"/>
        <v>0.25</v>
      </c>
      <c r="O8" s="32">
        <f t="shared" ref="O8" si="15">+(+F8-E8)</f>
        <v>0</v>
      </c>
      <c r="P8" s="31">
        <v>0.33333333333333331</v>
      </c>
      <c r="Q8" s="30">
        <v>1.0416666666666666E-2</v>
      </c>
      <c r="R8" s="31">
        <f t="shared" si="8"/>
        <v>0</v>
      </c>
      <c r="S8" s="31"/>
    </row>
    <row r="9" spans="1:19" ht="13.5" x14ac:dyDescent="0.25">
      <c r="A9" s="24">
        <v>2</v>
      </c>
      <c r="B9" s="25">
        <v>46176</v>
      </c>
      <c r="C9" s="26">
        <v>0.29166666666666669</v>
      </c>
      <c r="D9" s="26">
        <v>0.85416666666666663</v>
      </c>
      <c r="E9" s="27"/>
      <c r="F9" s="27"/>
      <c r="G9" s="28">
        <f t="shared" ref="G9" si="16">IF(C9-E9&gt;0,+C9-E9,0)</f>
        <v>0.29166666666666669</v>
      </c>
      <c r="H9" s="28">
        <f t="shared" ref="H9" si="17">IF(F9-D9&gt;0,+F9-D9,0)</f>
        <v>0</v>
      </c>
      <c r="I9" s="28">
        <f t="shared" ref="I9" si="18">SUM(G9:H9)</f>
        <v>0.29166666666666669</v>
      </c>
      <c r="J9" s="28">
        <f t="shared" ref="J9" si="19">IF(C9-E9&lt;0,+(+C9-E9)*-1,0)</f>
        <v>0</v>
      </c>
      <c r="K9" s="28">
        <f t="shared" ref="K9" si="20">IF(F9-D9&lt;0,+(+F9-D9)*-1,0)</f>
        <v>0.85416666666666663</v>
      </c>
      <c r="L9" s="29">
        <f t="shared" ref="L9" si="21">+J9+K9</f>
        <v>0.85416666666666663</v>
      </c>
      <c r="M9" s="30">
        <v>0.25</v>
      </c>
      <c r="N9" s="31">
        <f t="shared" ref="N9" si="22">IF((+M9-E9)&gt;0,(+M9-E9),0)</f>
        <v>0.25</v>
      </c>
      <c r="O9" s="32">
        <f t="shared" ref="O9" si="23">+(+F9-E9)</f>
        <v>0</v>
      </c>
      <c r="P9" s="31">
        <v>0.33333333333333331</v>
      </c>
      <c r="Q9" s="30"/>
      <c r="R9" s="31">
        <f t="shared" ref="R9" si="24">IF((+O9-P9-Q9)&gt;0,(O9-P9-Q9),0)</f>
        <v>0</v>
      </c>
      <c r="S9" s="31"/>
    </row>
    <row r="10" spans="1:19" ht="13.5" x14ac:dyDescent="0.25">
      <c r="A10" s="24">
        <v>2</v>
      </c>
      <c r="B10" s="25">
        <v>46177</v>
      </c>
      <c r="C10" s="26">
        <v>0.29166666666666669</v>
      </c>
      <c r="D10" s="26">
        <v>0.85416666666666663</v>
      </c>
      <c r="E10" s="27"/>
      <c r="F10" s="27"/>
      <c r="G10" s="28">
        <f t="shared" ref="G10" si="25">IF(C10-E10&gt;0,+C10-E10,0)</f>
        <v>0.29166666666666669</v>
      </c>
      <c r="H10" s="28">
        <f t="shared" ref="H10" si="26">IF(F10-D10&gt;0,+F10-D10,0)</f>
        <v>0</v>
      </c>
      <c r="I10" s="28">
        <f t="shared" ref="I10" si="27">SUM(G10:H10)</f>
        <v>0.29166666666666669</v>
      </c>
      <c r="J10" s="28">
        <f t="shared" ref="J10" si="28">IF(C10-E10&lt;0,+(+C10-E10)*-1,0)</f>
        <v>0</v>
      </c>
      <c r="K10" s="28">
        <f t="shared" ref="K10" si="29">IF(F10-D10&lt;0,+(+F10-D10)*-1,0)</f>
        <v>0.85416666666666663</v>
      </c>
      <c r="L10" s="29">
        <f t="shared" ref="L10" si="30">+J10+K10</f>
        <v>0.85416666666666663</v>
      </c>
      <c r="M10" s="30">
        <v>0.25</v>
      </c>
      <c r="N10" s="31">
        <f t="shared" ref="N10" si="31">IF((+M10-E10)&gt;0,(+M10-E10),0)</f>
        <v>0.25</v>
      </c>
      <c r="O10" s="32">
        <f t="shared" ref="O10" si="32">+(+F10-E10)</f>
        <v>0</v>
      </c>
      <c r="P10" s="31">
        <v>0.33333333333333331</v>
      </c>
      <c r="Q10" s="30">
        <v>1.0416666666666666E-2</v>
      </c>
      <c r="R10" s="31">
        <f t="shared" ref="R10" si="33">IF((+O10-P10-Q10)&gt;0,(O10-P10-Q10),0)</f>
        <v>0</v>
      </c>
      <c r="S10" s="31"/>
    </row>
    <row r="11" spans="1:19" ht="15" customHeight="1" x14ac:dyDescent="0.25">
      <c r="A11" s="24">
        <v>2</v>
      </c>
      <c r="B11" s="25">
        <v>46178</v>
      </c>
      <c r="C11" s="26">
        <v>0.29166666666666669</v>
      </c>
      <c r="D11" s="26">
        <v>0.85416666666666663</v>
      </c>
      <c r="E11" s="27"/>
      <c r="F11" s="27"/>
      <c r="G11" s="28">
        <f t="shared" ref="G11:G16" si="34">IF(C11-E11&gt;0,+C11-E11,0)</f>
        <v>0.29166666666666669</v>
      </c>
      <c r="H11" s="28">
        <f t="shared" ref="H11:H16" si="35">IF(F11-D11&gt;0,+F11-D11,0)</f>
        <v>0</v>
      </c>
      <c r="I11" s="28">
        <f t="shared" ref="I11:I16" si="36">SUM(G11:H11)</f>
        <v>0.29166666666666669</v>
      </c>
      <c r="J11" s="28">
        <f t="shared" ref="J11:J16" si="37">IF(C11-E11&lt;0,+(+C11-E11)*-1,0)</f>
        <v>0</v>
      </c>
      <c r="K11" s="28">
        <f t="shared" ref="K11:K16" si="38">IF(F11-D11&lt;0,+(+F11-D11)*-1,0)</f>
        <v>0.85416666666666663</v>
      </c>
      <c r="L11" s="29">
        <f t="shared" ref="L11:L16" si="39">+J11+K11</f>
        <v>0.85416666666666663</v>
      </c>
      <c r="M11" s="30">
        <v>0.25</v>
      </c>
      <c r="N11" s="31">
        <f t="shared" ref="N11" si="40">IF((+M11-E11)&gt;0,(+M11-E11),0)</f>
        <v>0.25</v>
      </c>
      <c r="O11" s="32">
        <f t="shared" ref="O11:O16" si="41">+(+F11-E11)</f>
        <v>0</v>
      </c>
      <c r="P11" s="31">
        <v>0.33333333333333331</v>
      </c>
      <c r="Q11" s="30"/>
      <c r="R11" s="31">
        <f t="shared" ref="R11" si="42">IF((+O11-P11-Q11)&gt;0,(O11-P11-Q11),0)</f>
        <v>0</v>
      </c>
      <c r="S11" s="31"/>
    </row>
    <row r="12" spans="1:19" ht="13.5" x14ac:dyDescent="0.25">
      <c r="A12" s="33">
        <v>2</v>
      </c>
      <c r="B12" s="34">
        <v>46179</v>
      </c>
      <c r="C12" s="35">
        <v>0.29166666666666669</v>
      </c>
      <c r="D12" s="35">
        <v>0.85416666666666663</v>
      </c>
      <c r="E12" s="36"/>
      <c r="F12" s="36"/>
      <c r="G12" s="37">
        <f t="shared" si="34"/>
        <v>0.29166666666666669</v>
      </c>
      <c r="H12" s="37">
        <f t="shared" si="35"/>
        <v>0</v>
      </c>
      <c r="I12" s="37">
        <f t="shared" si="36"/>
        <v>0.29166666666666669</v>
      </c>
      <c r="J12" s="37">
        <f t="shared" si="37"/>
        <v>0</v>
      </c>
      <c r="K12" s="37">
        <f t="shared" si="38"/>
        <v>0.85416666666666663</v>
      </c>
      <c r="L12" s="38">
        <f t="shared" si="39"/>
        <v>0.85416666666666663</v>
      </c>
      <c r="M12" s="39"/>
      <c r="N12" s="40"/>
      <c r="O12" s="40">
        <f t="shared" si="41"/>
        <v>0</v>
      </c>
      <c r="P12" s="40"/>
      <c r="Q12" s="40"/>
      <c r="R12" s="40"/>
      <c r="S12" s="40">
        <f>+F12-E12</f>
        <v>0</v>
      </c>
    </row>
    <row r="13" spans="1:19" ht="13.5" x14ac:dyDescent="0.25">
      <c r="A13" s="24">
        <v>2</v>
      </c>
      <c r="B13" s="25">
        <v>46181</v>
      </c>
      <c r="C13" s="26">
        <v>0.29166666666666669</v>
      </c>
      <c r="D13" s="26">
        <v>0.85416666666666663</v>
      </c>
      <c r="E13" s="27"/>
      <c r="F13" s="27"/>
      <c r="G13" s="28">
        <f t="shared" si="34"/>
        <v>0.29166666666666669</v>
      </c>
      <c r="H13" s="28">
        <f t="shared" si="35"/>
        <v>0</v>
      </c>
      <c r="I13" s="28">
        <f t="shared" si="36"/>
        <v>0.29166666666666669</v>
      </c>
      <c r="J13" s="28">
        <f t="shared" si="37"/>
        <v>0</v>
      </c>
      <c r="K13" s="28">
        <f t="shared" si="38"/>
        <v>0.85416666666666663</v>
      </c>
      <c r="L13" s="29">
        <f t="shared" si="39"/>
        <v>0.85416666666666663</v>
      </c>
      <c r="M13" s="30">
        <v>0.25</v>
      </c>
      <c r="N13" s="31">
        <f t="shared" ref="N13:N17" si="43">IF((+M13-E13)&gt;0,(+M13-E13),0)</f>
        <v>0.25</v>
      </c>
      <c r="O13" s="32">
        <f t="shared" si="41"/>
        <v>0</v>
      </c>
      <c r="P13" s="31">
        <v>0.33333333333333331</v>
      </c>
      <c r="Q13" s="30">
        <v>1.0416666666666666E-2</v>
      </c>
      <c r="R13" s="31">
        <f t="shared" ref="R13:R17" si="44">IF((+O13-P13-Q13)&gt;0,(O13-P13-Q13),0)</f>
        <v>0</v>
      </c>
      <c r="S13" s="31"/>
    </row>
    <row r="14" spans="1:19" ht="13.5" x14ac:dyDescent="0.25">
      <c r="A14" s="24">
        <v>2</v>
      </c>
      <c r="B14" s="25">
        <v>46182</v>
      </c>
      <c r="C14" s="26">
        <v>0.29166666666666669</v>
      </c>
      <c r="D14" s="26">
        <v>0.85416666666666663</v>
      </c>
      <c r="E14" s="27"/>
      <c r="F14" s="27"/>
      <c r="G14" s="28">
        <f t="shared" si="34"/>
        <v>0.29166666666666669</v>
      </c>
      <c r="H14" s="28">
        <f t="shared" si="35"/>
        <v>0</v>
      </c>
      <c r="I14" s="28">
        <f t="shared" si="36"/>
        <v>0.29166666666666669</v>
      </c>
      <c r="J14" s="28">
        <f t="shared" si="37"/>
        <v>0</v>
      </c>
      <c r="K14" s="28">
        <f t="shared" si="38"/>
        <v>0.85416666666666663</v>
      </c>
      <c r="L14" s="29">
        <f t="shared" si="39"/>
        <v>0.85416666666666663</v>
      </c>
      <c r="M14" s="30">
        <v>0.25</v>
      </c>
      <c r="N14" s="31">
        <f t="shared" si="43"/>
        <v>0.25</v>
      </c>
      <c r="O14" s="32">
        <f t="shared" si="41"/>
        <v>0</v>
      </c>
      <c r="P14" s="31">
        <v>0.33333333333333331</v>
      </c>
      <c r="Q14" s="30"/>
      <c r="R14" s="31">
        <f t="shared" si="44"/>
        <v>0</v>
      </c>
      <c r="S14" s="31"/>
    </row>
    <row r="15" spans="1:19" ht="15" customHeight="1" x14ac:dyDescent="0.25">
      <c r="A15" s="24">
        <v>2</v>
      </c>
      <c r="B15" s="25">
        <v>46183</v>
      </c>
      <c r="C15" s="26">
        <v>0.29166666666666669</v>
      </c>
      <c r="D15" s="26">
        <v>0.85416666666666663</v>
      </c>
      <c r="E15" s="27"/>
      <c r="F15" s="27"/>
      <c r="G15" s="28">
        <f t="shared" si="34"/>
        <v>0.29166666666666669</v>
      </c>
      <c r="H15" s="28">
        <f t="shared" si="35"/>
        <v>0</v>
      </c>
      <c r="I15" s="28">
        <f t="shared" si="36"/>
        <v>0.29166666666666669</v>
      </c>
      <c r="J15" s="28">
        <f t="shared" si="37"/>
        <v>0</v>
      </c>
      <c r="K15" s="28">
        <f t="shared" si="38"/>
        <v>0.85416666666666663</v>
      </c>
      <c r="L15" s="29">
        <f t="shared" si="39"/>
        <v>0.85416666666666663</v>
      </c>
      <c r="M15" s="30">
        <v>0.25</v>
      </c>
      <c r="N15" s="31">
        <f t="shared" si="43"/>
        <v>0.25</v>
      </c>
      <c r="O15" s="32">
        <f t="shared" si="41"/>
        <v>0</v>
      </c>
      <c r="P15" s="31">
        <v>0.33333333333333331</v>
      </c>
      <c r="Q15" s="30">
        <v>1.0416666666666666E-2</v>
      </c>
      <c r="R15" s="31">
        <f t="shared" si="44"/>
        <v>0</v>
      </c>
      <c r="S15" s="31"/>
    </row>
    <row r="16" spans="1:19" ht="13.5" x14ac:dyDescent="0.25">
      <c r="A16" s="24">
        <v>2</v>
      </c>
      <c r="B16" s="25">
        <v>46184</v>
      </c>
      <c r="C16" s="26">
        <v>0.29166666666666669</v>
      </c>
      <c r="D16" s="26">
        <v>0.85416666666666663</v>
      </c>
      <c r="E16" s="27"/>
      <c r="F16" s="27"/>
      <c r="G16" s="28">
        <f t="shared" si="34"/>
        <v>0.29166666666666669</v>
      </c>
      <c r="H16" s="28">
        <f t="shared" si="35"/>
        <v>0</v>
      </c>
      <c r="I16" s="28">
        <f t="shared" si="36"/>
        <v>0.29166666666666669</v>
      </c>
      <c r="J16" s="28">
        <f t="shared" si="37"/>
        <v>0</v>
      </c>
      <c r="K16" s="28">
        <f t="shared" si="38"/>
        <v>0.85416666666666663</v>
      </c>
      <c r="L16" s="29">
        <f t="shared" si="39"/>
        <v>0.85416666666666663</v>
      </c>
      <c r="M16" s="30">
        <v>0.25</v>
      </c>
      <c r="N16" s="31">
        <f t="shared" si="43"/>
        <v>0.25</v>
      </c>
      <c r="O16" s="32">
        <f t="shared" si="41"/>
        <v>0</v>
      </c>
      <c r="P16" s="31">
        <v>0.33333333333333331</v>
      </c>
      <c r="Q16" s="30"/>
      <c r="R16" s="31">
        <f t="shared" si="44"/>
        <v>0</v>
      </c>
      <c r="S16" s="31"/>
    </row>
    <row r="17" spans="1:19" ht="15" customHeight="1" x14ac:dyDescent="0.25">
      <c r="A17" s="24">
        <v>2</v>
      </c>
      <c r="B17" s="25">
        <v>46185</v>
      </c>
      <c r="C17" s="26">
        <v>0.29166666666666669</v>
      </c>
      <c r="D17" s="26">
        <v>0.85416666666666663</v>
      </c>
      <c r="E17" s="27"/>
      <c r="F17" s="27"/>
      <c r="G17" s="28">
        <f t="shared" ref="G17" si="45">IF(C17-E17&gt;0,+C17-E17,0)</f>
        <v>0.29166666666666669</v>
      </c>
      <c r="H17" s="28">
        <f t="shared" ref="H17" si="46">IF(F17-D17&gt;0,+F17-D17,0)</f>
        <v>0</v>
      </c>
      <c r="I17" s="28">
        <f t="shared" ref="I17" si="47">SUM(G17:H17)</f>
        <v>0.29166666666666669</v>
      </c>
      <c r="J17" s="28">
        <f t="shared" ref="J17" si="48">IF(C17-E17&lt;0,+(+C17-E17)*-1,0)</f>
        <v>0</v>
      </c>
      <c r="K17" s="28">
        <f t="shared" ref="K17" si="49">IF(F17-D17&lt;0,+(+F17-D17)*-1,0)</f>
        <v>0.85416666666666663</v>
      </c>
      <c r="L17" s="29">
        <f t="shared" ref="L17" si="50">+J17+K17</f>
        <v>0.85416666666666663</v>
      </c>
      <c r="M17" s="30">
        <v>0.25</v>
      </c>
      <c r="N17" s="31">
        <f t="shared" si="43"/>
        <v>0.25</v>
      </c>
      <c r="O17" s="32">
        <f t="shared" ref="O17" si="51">+(+F17-E17)</f>
        <v>0</v>
      </c>
      <c r="P17" s="31">
        <v>0.33333333333333331</v>
      </c>
      <c r="Q17" s="30">
        <v>1.0416666666666666E-2</v>
      </c>
      <c r="R17" s="31">
        <f t="shared" si="44"/>
        <v>0</v>
      </c>
      <c r="S17" s="31"/>
    </row>
    <row r="18" spans="1:19" ht="13.5" x14ac:dyDescent="0.25">
      <c r="A18" s="33">
        <v>2</v>
      </c>
      <c r="B18" s="34">
        <v>46186</v>
      </c>
      <c r="C18" s="35">
        <v>0.29166666666666669</v>
      </c>
      <c r="D18" s="35">
        <v>0.85416666666666663</v>
      </c>
      <c r="E18" s="36"/>
      <c r="F18" s="36"/>
      <c r="G18" s="37">
        <f t="shared" ref="G18:G19" si="52">IF(C18-E18&gt;0,+C18-E18,0)</f>
        <v>0.29166666666666669</v>
      </c>
      <c r="H18" s="37">
        <f t="shared" ref="H18:H19" si="53">IF(F18-D18&gt;0,+F18-D18,0)</f>
        <v>0</v>
      </c>
      <c r="I18" s="37">
        <f t="shared" ref="I18:I19" si="54">SUM(G18:H18)</f>
        <v>0.29166666666666669</v>
      </c>
      <c r="J18" s="37">
        <f t="shared" ref="J18:J19" si="55">IF(C18-E18&lt;0,+(+C18-E18)*-1,0)</f>
        <v>0</v>
      </c>
      <c r="K18" s="37">
        <f t="shared" ref="K18:K19" si="56">IF(F18-D18&lt;0,+(+F18-D18)*-1,0)</f>
        <v>0.85416666666666663</v>
      </c>
      <c r="L18" s="38">
        <f t="shared" ref="L18:L19" si="57">+J18+K18</f>
        <v>0.85416666666666663</v>
      </c>
      <c r="M18" s="39"/>
      <c r="N18" s="40"/>
      <c r="O18" s="40">
        <f t="shared" ref="O18:O19" si="58">+(+F18-E18)</f>
        <v>0</v>
      </c>
      <c r="P18" s="40"/>
      <c r="Q18" s="40"/>
      <c r="R18" s="40"/>
      <c r="S18" s="40">
        <f>+F18-E18</f>
        <v>0</v>
      </c>
    </row>
    <row r="19" spans="1:19" ht="15.75" customHeight="1" x14ac:dyDescent="0.25">
      <c r="A19" s="24">
        <v>2</v>
      </c>
      <c r="B19" s="25">
        <v>46188</v>
      </c>
      <c r="C19" s="26">
        <v>0.29166666666666669</v>
      </c>
      <c r="D19" s="26">
        <v>0.85416666666666663</v>
      </c>
      <c r="E19" s="27"/>
      <c r="F19" s="27"/>
      <c r="G19" s="28">
        <f t="shared" si="52"/>
        <v>0.29166666666666669</v>
      </c>
      <c r="H19" s="28">
        <f t="shared" si="53"/>
        <v>0</v>
      </c>
      <c r="I19" s="28">
        <f t="shared" si="54"/>
        <v>0.29166666666666669</v>
      </c>
      <c r="J19" s="28">
        <f t="shared" si="55"/>
        <v>0</v>
      </c>
      <c r="K19" s="28">
        <f t="shared" si="56"/>
        <v>0.85416666666666663</v>
      </c>
      <c r="L19" s="29">
        <f t="shared" si="57"/>
        <v>0.85416666666666663</v>
      </c>
      <c r="M19" s="30">
        <v>0.25</v>
      </c>
      <c r="N19" s="31">
        <f t="shared" ref="N19:N22" si="59">IF((+M19-E19)&gt;0,(+M19-E19),0)</f>
        <v>0.25</v>
      </c>
      <c r="O19" s="32">
        <f t="shared" si="58"/>
        <v>0</v>
      </c>
      <c r="P19" s="31">
        <v>0.33333333333333331</v>
      </c>
      <c r="Q19" s="30"/>
      <c r="R19" s="31">
        <f t="shared" ref="R19:R22" si="60">IF((+O19-P19-Q19)&gt;0,(O19-P19-Q19),0)</f>
        <v>0</v>
      </c>
      <c r="S19" s="31"/>
    </row>
    <row r="20" spans="1:19" ht="13.5" x14ac:dyDescent="0.25">
      <c r="A20" s="24">
        <v>2</v>
      </c>
      <c r="B20" s="25">
        <v>46189</v>
      </c>
      <c r="C20" s="26">
        <v>0.29166666666666669</v>
      </c>
      <c r="D20" s="26">
        <v>0.85416666666666663</v>
      </c>
      <c r="E20" s="27"/>
      <c r="F20" s="27"/>
      <c r="G20" s="28">
        <f t="shared" ref="G20:G22" si="61">IF(C20-E20&gt;0,+C20-E20,0)</f>
        <v>0.29166666666666669</v>
      </c>
      <c r="H20" s="28">
        <f t="shared" ref="H20:H22" si="62">IF(F20-D20&gt;0,+F20-D20,0)</f>
        <v>0</v>
      </c>
      <c r="I20" s="28">
        <f t="shared" ref="I20:I22" si="63">SUM(G20:H20)</f>
        <v>0.29166666666666669</v>
      </c>
      <c r="J20" s="28">
        <f t="shared" ref="J20:J22" si="64">IF(C20-E20&lt;0,+(+C20-E20)*-1,0)</f>
        <v>0</v>
      </c>
      <c r="K20" s="28">
        <f t="shared" ref="K20:K22" si="65">IF(F20-D20&lt;0,+(+F20-D20)*-1,0)</f>
        <v>0.85416666666666663</v>
      </c>
      <c r="L20" s="29">
        <f t="shared" ref="L20:L22" si="66">+J20+K20</f>
        <v>0.85416666666666663</v>
      </c>
      <c r="M20" s="30">
        <v>0.25</v>
      </c>
      <c r="N20" s="31">
        <f t="shared" si="59"/>
        <v>0.25</v>
      </c>
      <c r="O20" s="32">
        <f t="shared" ref="O20:O22" si="67">+(+F20-E20)</f>
        <v>0</v>
      </c>
      <c r="P20" s="31">
        <v>0.33333333333333331</v>
      </c>
      <c r="Q20" s="30">
        <v>1.0416666666666666E-2</v>
      </c>
      <c r="R20" s="31">
        <f t="shared" si="60"/>
        <v>0</v>
      </c>
      <c r="S20" s="31"/>
    </row>
    <row r="21" spans="1:19" ht="15" customHeight="1" x14ac:dyDescent="0.25">
      <c r="A21" s="24">
        <v>2</v>
      </c>
      <c r="B21" s="25">
        <v>46190</v>
      </c>
      <c r="C21" s="26">
        <v>0.29166666666666669</v>
      </c>
      <c r="D21" s="26">
        <v>0.85416666666666663</v>
      </c>
      <c r="E21" s="27"/>
      <c r="F21" s="27"/>
      <c r="G21" s="28">
        <f t="shared" si="61"/>
        <v>0.29166666666666669</v>
      </c>
      <c r="H21" s="28">
        <f t="shared" si="62"/>
        <v>0</v>
      </c>
      <c r="I21" s="28">
        <f t="shared" si="63"/>
        <v>0.29166666666666669</v>
      </c>
      <c r="J21" s="28">
        <f t="shared" si="64"/>
        <v>0</v>
      </c>
      <c r="K21" s="28">
        <f t="shared" si="65"/>
        <v>0.85416666666666663</v>
      </c>
      <c r="L21" s="29">
        <f t="shared" si="66"/>
        <v>0.85416666666666663</v>
      </c>
      <c r="M21" s="30">
        <v>0.25</v>
      </c>
      <c r="N21" s="31">
        <f t="shared" si="59"/>
        <v>0.25</v>
      </c>
      <c r="O21" s="32">
        <f t="shared" si="67"/>
        <v>0</v>
      </c>
      <c r="P21" s="31">
        <v>0.33333333333333331</v>
      </c>
      <c r="Q21" s="30"/>
      <c r="R21" s="31">
        <f t="shared" si="60"/>
        <v>0</v>
      </c>
      <c r="S21" s="31"/>
    </row>
    <row r="22" spans="1:19" ht="13.5" x14ac:dyDescent="0.25">
      <c r="A22" s="24">
        <v>2</v>
      </c>
      <c r="B22" s="25">
        <v>46191</v>
      </c>
      <c r="C22" s="26">
        <v>0.29166666666666669</v>
      </c>
      <c r="D22" s="26">
        <v>0.85416666666666663</v>
      </c>
      <c r="E22" s="27"/>
      <c r="F22" s="27"/>
      <c r="G22" s="28">
        <f t="shared" si="61"/>
        <v>0.29166666666666669</v>
      </c>
      <c r="H22" s="28">
        <f t="shared" si="62"/>
        <v>0</v>
      </c>
      <c r="I22" s="28">
        <f t="shared" si="63"/>
        <v>0.29166666666666669</v>
      </c>
      <c r="J22" s="28">
        <f t="shared" si="64"/>
        <v>0</v>
      </c>
      <c r="K22" s="28">
        <f t="shared" si="65"/>
        <v>0.85416666666666663</v>
      </c>
      <c r="L22" s="29">
        <f t="shared" si="66"/>
        <v>0.85416666666666663</v>
      </c>
      <c r="M22" s="30">
        <v>0.25</v>
      </c>
      <c r="N22" s="31">
        <f t="shared" si="59"/>
        <v>0.25</v>
      </c>
      <c r="O22" s="32">
        <f t="shared" si="67"/>
        <v>0</v>
      </c>
      <c r="P22" s="31">
        <v>0.33333333333333331</v>
      </c>
      <c r="Q22" s="30">
        <v>1.0416666666666666E-2</v>
      </c>
      <c r="R22" s="31">
        <f t="shared" si="60"/>
        <v>0</v>
      </c>
      <c r="S22" s="31"/>
    </row>
    <row r="23" spans="1:19" ht="15" customHeight="1" x14ac:dyDescent="0.25">
      <c r="A23" s="24">
        <v>2</v>
      </c>
      <c r="B23" s="25">
        <v>46192</v>
      </c>
      <c r="C23" s="26">
        <v>0.29166666666666669</v>
      </c>
      <c r="D23" s="26">
        <v>0.85416666666666663</v>
      </c>
      <c r="E23" s="27"/>
      <c r="F23" s="27"/>
      <c r="G23" s="28">
        <f t="shared" ref="G23:G29" si="68">IF(C23-E23&gt;0,+C23-E23,0)</f>
        <v>0.29166666666666669</v>
      </c>
      <c r="H23" s="28">
        <f t="shared" ref="H23:H29" si="69">IF(F23-D23&gt;0,+F23-D23,0)</f>
        <v>0</v>
      </c>
      <c r="I23" s="28">
        <f t="shared" ref="I23:I29" si="70">SUM(G23:H23)</f>
        <v>0.29166666666666669</v>
      </c>
      <c r="J23" s="28">
        <f t="shared" ref="J23:J29" si="71">IF(C23-E23&lt;0,+(+C23-E23)*-1,0)</f>
        <v>0</v>
      </c>
      <c r="K23" s="28">
        <f t="shared" ref="K23:K29" si="72">IF(F23-D23&lt;0,+(+F23-D23)*-1,0)</f>
        <v>0.85416666666666663</v>
      </c>
      <c r="L23" s="29">
        <f t="shared" ref="L23:L29" si="73">+J23+K23</f>
        <v>0.85416666666666663</v>
      </c>
      <c r="M23" s="30">
        <v>0.25</v>
      </c>
      <c r="N23" s="31">
        <f t="shared" ref="N23" si="74">IF((+M23-E23)&gt;0,(+M23-E23),0)</f>
        <v>0.25</v>
      </c>
      <c r="O23" s="32">
        <f t="shared" ref="O23:O29" si="75">+(+F23-E23)</f>
        <v>0</v>
      </c>
      <c r="P23" s="31">
        <v>0.33333333333333331</v>
      </c>
      <c r="Q23" s="30"/>
      <c r="R23" s="31">
        <f t="shared" ref="R23" si="76">IF((+O23-P23-Q23)&gt;0,(O23-P23-Q23),0)</f>
        <v>0</v>
      </c>
      <c r="S23" s="31"/>
    </row>
    <row r="24" spans="1:19" ht="13.5" x14ac:dyDescent="0.25">
      <c r="A24" s="33">
        <v>2</v>
      </c>
      <c r="B24" s="34">
        <v>46193</v>
      </c>
      <c r="C24" s="35">
        <v>0.29166666666666669</v>
      </c>
      <c r="D24" s="35">
        <v>0.85416666666666663</v>
      </c>
      <c r="E24" s="36"/>
      <c r="F24" s="36"/>
      <c r="G24" s="37">
        <f t="shared" si="68"/>
        <v>0.29166666666666669</v>
      </c>
      <c r="H24" s="37">
        <f t="shared" si="69"/>
        <v>0</v>
      </c>
      <c r="I24" s="37">
        <f t="shared" si="70"/>
        <v>0.29166666666666669</v>
      </c>
      <c r="J24" s="37">
        <f t="shared" si="71"/>
        <v>0</v>
      </c>
      <c r="K24" s="37">
        <f t="shared" si="72"/>
        <v>0.85416666666666663</v>
      </c>
      <c r="L24" s="38">
        <f t="shared" si="73"/>
        <v>0.85416666666666663</v>
      </c>
      <c r="M24" s="39"/>
      <c r="N24" s="40"/>
      <c r="O24" s="40">
        <f t="shared" si="75"/>
        <v>0</v>
      </c>
      <c r="P24" s="40"/>
      <c r="Q24" s="40"/>
      <c r="R24" s="40"/>
      <c r="S24" s="40">
        <f>+F24-E24</f>
        <v>0</v>
      </c>
    </row>
    <row r="25" spans="1:19" ht="13.5" x14ac:dyDescent="0.25">
      <c r="A25" s="24">
        <v>2</v>
      </c>
      <c r="B25" s="25">
        <v>46195</v>
      </c>
      <c r="C25" s="26">
        <v>0.29166666666666669</v>
      </c>
      <c r="D25" s="26">
        <v>0.85416666666666663</v>
      </c>
      <c r="E25" s="27"/>
      <c r="F25" s="27"/>
      <c r="G25" s="28">
        <f t="shared" si="68"/>
        <v>0.29166666666666669</v>
      </c>
      <c r="H25" s="28">
        <f t="shared" si="69"/>
        <v>0</v>
      </c>
      <c r="I25" s="28">
        <f t="shared" si="70"/>
        <v>0.29166666666666669</v>
      </c>
      <c r="J25" s="28">
        <f t="shared" si="71"/>
        <v>0</v>
      </c>
      <c r="K25" s="28">
        <f t="shared" si="72"/>
        <v>0.85416666666666663</v>
      </c>
      <c r="L25" s="29">
        <f t="shared" si="73"/>
        <v>0.85416666666666663</v>
      </c>
      <c r="M25" s="30">
        <v>0.25</v>
      </c>
      <c r="N25" s="31">
        <f t="shared" ref="N25" si="77">IF((+M25-E25)&gt;0,(+M25-E25),0)</f>
        <v>0.25</v>
      </c>
      <c r="O25" s="32">
        <f t="shared" si="75"/>
        <v>0</v>
      </c>
      <c r="P25" s="31">
        <v>0.33333333333333331</v>
      </c>
      <c r="Q25" s="30">
        <v>1.0416666666666666E-2</v>
      </c>
      <c r="R25" s="31">
        <f t="shared" ref="R25" si="78">IF((+O25-P25-Q25)&gt;0,(O25-P25-Q25),0)</f>
        <v>0</v>
      </c>
      <c r="S25" s="31"/>
    </row>
    <row r="26" spans="1:19" ht="13.5" x14ac:dyDescent="0.25">
      <c r="A26" s="24">
        <v>2</v>
      </c>
      <c r="B26" s="25">
        <v>46196</v>
      </c>
      <c r="C26" s="26">
        <v>0.29166666666666669</v>
      </c>
      <c r="D26" s="26">
        <v>0.85416666666666663</v>
      </c>
      <c r="E26" s="27"/>
      <c r="F26" s="27"/>
      <c r="G26" s="28">
        <f t="shared" si="68"/>
        <v>0.29166666666666669</v>
      </c>
      <c r="H26" s="28">
        <f t="shared" si="69"/>
        <v>0</v>
      </c>
      <c r="I26" s="28">
        <f t="shared" si="70"/>
        <v>0.29166666666666669</v>
      </c>
      <c r="J26" s="28">
        <f t="shared" si="71"/>
        <v>0</v>
      </c>
      <c r="K26" s="28">
        <f t="shared" si="72"/>
        <v>0.85416666666666663</v>
      </c>
      <c r="L26" s="29">
        <f t="shared" si="73"/>
        <v>0.85416666666666663</v>
      </c>
      <c r="M26" s="30">
        <v>0.25</v>
      </c>
      <c r="N26" s="31">
        <f t="shared" ref="N26:N29" si="79">IF((+M26-E26)&gt;0,(+M26-E26),0)</f>
        <v>0.25</v>
      </c>
      <c r="O26" s="32">
        <f t="shared" si="75"/>
        <v>0</v>
      </c>
      <c r="P26" s="31">
        <v>0.33333333333333331</v>
      </c>
      <c r="Q26" s="30"/>
      <c r="R26" s="31">
        <f t="shared" ref="R26:R29" si="80">IF((+O26-P26-Q26)&gt;0,(O26-P26-Q26),0)</f>
        <v>0</v>
      </c>
      <c r="S26" s="31"/>
    </row>
    <row r="27" spans="1:19" ht="15" customHeight="1" x14ac:dyDescent="0.25">
      <c r="A27" s="24">
        <v>2</v>
      </c>
      <c r="B27" s="25">
        <v>46197</v>
      </c>
      <c r="C27" s="26">
        <v>0.29166666666666669</v>
      </c>
      <c r="D27" s="26">
        <v>0.85416666666666663</v>
      </c>
      <c r="E27" s="27"/>
      <c r="F27" s="27"/>
      <c r="G27" s="28">
        <f t="shared" si="68"/>
        <v>0.29166666666666669</v>
      </c>
      <c r="H27" s="28">
        <f t="shared" si="69"/>
        <v>0</v>
      </c>
      <c r="I27" s="28">
        <f t="shared" si="70"/>
        <v>0.29166666666666669</v>
      </c>
      <c r="J27" s="28">
        <f t="shared" si="71"/>
        <v>0</v>
      </c>
      <c r="K27" s="28">
        <f t="shared" si="72"/>
        <v>0.85416666666666663</v>
      </c>
      <c r="L27" s="29">
        <f t="shared" si="73"/>
        <v>0.85416666666666663</v>
      </c>
      <c r="M27" s="30">
        <v>0.25</v>
      </c>
      <c r="N27" s="31">
        <f t="shared" si="79"/>
        <v>0.25</v>
      </c>
      <c r="O27" s="32">
        <f t="shared" si="75"/>
        <v>0</v>
      </c>
      <c r="P27" s="31">
        <v>0.33333333333333331</v>
      </c>
      <c r="Q27" s="30">
        <v>1.0416666666666666E-2</v>
      </c>
      <c r="R27" s="31">
        <f t="shared" si="80"/>
        <v>0</v>
      </c>
      <c r="S27" s="31"/>
    </row>
    <row r="28" spans="1:19" ht="13.5" x14ac:dyDescent="0.25">
      <c r="A28" s="24">
        <v>2</v>
      </c>
      <c r="B28" s="25">
        <v>46198</v>
      </c>
      <c r="C28" s="26">
        <v>0.29166666666666669</v>
      </c>
      <c r="D28" s="26">
        <v>0.85416666666666663</v>
      </c>
      <c r="E28" s="27"/>
      <c r="F28" s="27"/>
      <c r="G28" s="28">
        <f t="shared" si="68"/>
        <v>0.29166666666666669</v>
      </c>
      <c r="H28" s="28">
        <f t="shared" si="69"/>
        <v>0</v>
      </c>
      <c r="I28" s="28">
        <f t="shared" si="70"/>
        <v>0.29166666666666669</v>
      </c>
      <c r="J28" s="28">
        <f t="shared" si="71"/>
        <v>0</v>
      </c>
      <c r="K28" s="28">
        <f t="shared" si="72"/>
        <v>0.85416666666666663</v>
      </c>
      <c r="L28" s="29">
        <f t="shared" si="73"/>
        <v>0.85416666666666663</v>
      </c>
      <c r="M28" s="30">
        <v>0.25</v>
      </c>
      <c r="N28" s="31">
        <f t="shared" si="79"/>
        <v>0.25</v>
      </c>
      <c r="O28" s="32">
        <f t="shared" si="75"/>
        <v>0</v>
      </c>
      <c r="P28" s="31">
        <v>0.33333333333333331</v>
      </c>
      <c r="Q28" s="30"/>
      <c r="R28" s="31">
        <f t="shared" si="80"/>
        <v>0</v>
      </c>
      <c r="S28" s="31"/>
    </row>
    <row r="29" spans="1:19" ht="15" customHeight="1" x14ac:dyDescent="0.25">
      <c r="A29" s="24">
        <v>2</v>
      </c>
      <c r="B29" s="25">
        <v>46199</v>
      </c>
      <c r="C29" s="26">
        <v>0.29166666666666669</v>
      </c>
      <c r="D29" s="26">
        <v>0.85416666666666663</v>
      </c>
      <c r="E29" s="27"/>
      <c r="F29" s="27"/>
      <c r="G29" s="28">
        <f t="shared" si="68"/>
        <v>0.29166666666666669</v>
      </c>
      <c r="H29" s="28">
        <f t="shared" si="69"/>
        <v>0</v>
      </c>
      <c r="I29" s="28">
        <f t="shared" si="70"/>
        <v>0.29166666666666669</v>
      </c>
      <c r="J29" s="28">
        <f t="shared" si="71"/>
        <v>0</v>
      </c>
      <c r="K29" s="28">
        <f t="shared" si="72"/>
        <v>0.85416666666666663</v>
      </c>
      <c r="L29" s="29">
        <f t="shared" si="73"/>
        <v>0.85416666666666663</v>
      </c>
      <c r="M29" s="30">
        <v>0.25</v>
      </c>
      <c r="N29" s="31">
        <f t="shared" si="79"/>
        <v>0.25</v>
      </c>
      <c r="O29" s="32">
        <f t="shared" si="75"/>
        <v>0</v>
      </c>
      <c r="P29" s="31">
        <v>0.33333333333333331</v>
      </c>
      <c r="Q29" s="30">
        <v>1.0416666666666666E-2</v>
      </c>
      <c r="R29" s="31">
        <f t="shared" si="80"/>
        <v>0</v>
      </c>
      <c r="S29" s="31"/>
    </row>
    <row r="30" spans="1:19" ht="13.5" x14ac:dyDescent="0.25">
      <c r="A30" s="33">
        <v>2</v>
      </c>
      <c r="B30" s="34">
        <v>46200</v>
      </c>
      <c r="C30" s="35">
        <v>0.29166666666666669</v>
      </c>
      <c r="D30" s="35">
        <v>0.85416666666666663</v>
      </c>
      <c r="E30" s="36"/>
      <c r="F30" s="36"/>
      <c r="G30" s="37">
        <f t="shared" ref="G30:G32" si="81">IF(C30-E30&gt;0,+C30-E30,0)</f>
        <v>0.29166666666666669</v>
      </c>
      <c r="H30" s="37">
        <f t="shared" ref="H30:H32" si="82">IF(F30-D30&gt;0,+F30-D30,0)</f>
        <v>0</v>
      </c>
      <c r="I30" s="37">
        <f t="shared" ref="I30:I32" si="83">SUM(G30:H30)</f>
        <v>0.29166666666666669</v>
      </c>
      <c r="J30" s="37">
        <f t="shared" ref="J30:J32" si="84">IF(C30-E30&lt;0,+(+C30-E30)*-1,0)</f>
        <v>0</v>
      </c>
      <c r="K30" s="37">
        <f t="shared" ref="K30:K32" si="85">IF(F30-D30&lt;0,+(+F30-D30)*-1,0)</f>
        <v>0.85416666666666663</v>
      </c>
      <c r="L30" s="38">
        <f t="shared" ref="L30:L32" si="86">+J30+K30</f>
        <v>0.85416666666666663</v>
      </c>
      <c r="M30" s="39"/>
      <c r="N30" s="40"/>
      <c r="O30" s="40">
        <f t="shared" ref="O30:O32" si="87">+(+F30-E30)</f>
        <v>0</v>
      </c>
      <c r="P30" s="40"/>
      <c r="Q30" s="40"/>
      <c r="R30" s="40"/>
      <c r="S30" s="40">
        <f>+F30-E30</f>
        <v>0</v>
      </c>
    </row>
    <row r="31" spans="1:19" ht="13.5" x14ac:dyDescent="0.25">
      <c r="A31" s="24">
        <v>2</v>
      </c>
      <c r="B31" s="25">
        <v>46202</v>
      </c>
      <c r="C31" s="26">
        <v>0.29166666666666669</v>
      </c>
      <c r="D31" s="26">
        <v>0.85416666666666663</v>
      </c>
      <c r="E31" s="27"/>
      <c r="F31" s="27"/>
      <c r="G31" s="28">
        <f t="shared" si="81"/>
        <v>0.29166666666666669</v>
      </c>
      <c r="H31" s="28">
        <f t="shared" si="82"/>
        <v>0</v>
      </c>
      <c r="I31" s="28">
        <f t="shared" si="83"/>
        <v>0.29166666666666669</v>
      </c>
      <c r="J31" s="28">
        <f t="shared" si="84"/>
        <v>0</v>
      </c>
      <c r="K31" s="28">
        <f t="shared" si="85"/>
        <v>0.85416666666666663</v>
      </c>
      <c r="L31" s="29">
        <f t="shared" si="86"/>
        <v>0.85416666666666663</v>
      </c>
      <c r="M31" s="30">
        <v>0.25</v>
      </c>
      <c r="N31" s="31">
        <f t="shared" ref="N31:N32" si="88">IF((+M31-E31)&gt;0,(+M31-E31),0)</f>
        <v>0.25</v>
      </c>
      <c r="O31" s="32">
        <f t="shared" si="87"/>
        <v>0</v>
      </c>
      <c r="P31" s="31">
        <v>0.33333333333333331</v>
      </c>
      <c r="Q31" s="30">
        <v>1.0416666666666666E-2</v>
      </c>
      <c r="R31" s="31">
        <f t="shared" ref="R31:R32" si="89">IF((+O31-P31-Q31)&gt;0,(O31-P31-Q31),0)</f>
        <v>0</v>
      </c>
      <c r="S31" s="31"/>
    </row>
    <row r="32" spans="1:19" ht="15" customHeight="1" x14ac:dyDescent="0.25">
      <c r="A32" s="24">
        <v>2</v>
      </c>
      <c r="B32" s="25">
        <v>46203</v>
      </c>
      <c r="C32" s="26">
        <v>0.29166666666666669</v>
      </c>
      <c r="D32" s="26">
        <v>0.85416666666666663</v>
      </c>
      <c r="E32" s="27"/>
      <c r="F32" s="27"/>
      <c r="G32" s="28">
        <f t="shared" si="81"/>
        <v>0.29166666666666669</v>
      </c>
      <c r="H32" s="28">
        <f t="shared" si="82"/>
        <v>0</v>
      </c>
      <c r="I32" s="28">
        <f t="shared" si="83"/>
        <v>0.29166666666666669</v>
      </c>
      <c r="J32" s="28">
        <f t="shared" si="84"/>
        <v>0</v>
      </c>
      <c r="K32" s="28">
        <f t="shared" si="85"/>
        <v>0.85416666666666663</v>
      </c>
      <c r="L32" s="29">
        <f t="shared" si="86"/>
        <v>0.85416666666666663</v>
      </c>
      <c r="M32" s="30">
        <v>0.25</v>
      </c>
      <c r="N32" s="31">
        <f t="shared" si="88"/>
        <v>0.25</v>
      </c>
      <c r="O32" s="32">
        <f t="shared" si="87"/>
        <v>0</v>
      </c>
      <c r="P32" s="31">
        <v>0.33333333333333331</v>
      </c>
      <c r="Q32" s="30"/>
      <c r="R32" s="31">
        <f t="shared" si="89"/>
        <v>0</v>
      </c>
      <c r="S32" s="31"/>
    </row>
    <row r="33" spans="1:19" ht="17.25" customHeight="1" x14ac:dyDescent="0.25">
      <c r="A33" s="24"/>
      <c r="B33" s="41"/>
      <c r="C33" s="41"/>
      <c r="D33" s="41"/>
      <c r="E33" s="42"/>
      <c r="F33" s="43"/>
      <c r="G33" s="24"/>
      <c r="H33" s="24"/>
      <c r="I33" s="24"/>
      <c r="J33" s="24"/>
      <c r="K33" s="24"/>
      <c r="L33" s="24"/>
      <c r="M33" s="24"/>
      <c r="N33" s="44">
        <f>SUM(N7:N32)</f>
        <v>5.5</v>
      </c>
      <c r="O33" s="44"/>
      <c r="P33" s="24"/>
      <c r="Q33" s="24"/>
      <c r="R33" s="44">
        <f>SUM(R7:R32)</f>
        <v>0</v>
      </c>
      <c r="S33" s="44">
        <f>SUM(S7:S32)</f>
        <v>0</v>
      </c>
    </row>
    <row r="34" spans="1:19" ht="14.25" thickBot="1" x14ac:dyDescent="0.3">
      <c r="A34" s="45"/>
      <c r="B34" s="46"/>
      <c r="C34" s="47"/>
      <c r="D34" s="47"/>
      <c r="E34" s="48"/>
      <c r="F34" s="49"/>
      <c r="G34" s="50"/>
      <c r="H34" s="51"/>
      <c r="I34" s="51"/>
      <c r="J34" s="51"/>
      <c r="K34" s="51"/>
      <c r="L34" s="52"/>
      <c r="M34" s="53"/>
      <c r="N34" s="54"/>
      <c r="O34" s="55"/>
      <c r="P34" s="56"/>
      <c r="Q34" s="57"/>
      <c r="R34" s="54"/>
      <c r="S34" s="54"/>
    </row>
    <row r="35" spans="1:19" ht="54" x14ac:dyDescent="0.25">
      <c r="A35" s="58"/>
      <c r="B35" s="59"/>
      <c r="C35" s="59"/>
      <c r="D35" s="59"/>
      <c r="E35" s="60"/>
      <c r="F35" s="61"/>
      <c r="G35" s="88" t="s">
        <v>17</v>
      </c>
      <c r="H35" s="88"/>
      <c r="I35" s="62" t="s">
        <v>18</v>
      </c>
      <c r="J35" s="62" t="s">
        <v>19</v>
      </c>
      <c r="K35" s="63" t="s">
        <v>20</v>
      </c>
      <c r="L35" s="62" t="s">
        <v>21</v>
      </c>
      <c r="M35" s="64" t="s">
        <v>22</v>
      </c>
      <c r="N35" s="65" t="s">
        <v>23</v>
      </c>
      <c r="O35" s="66" t="s">
        <v>24</v>
      </c>
      <c r="P35" s="67" t="s">
        <v>25</v>
      </c>
      <c r="Q35" s="57"/>
      <c r="R35" s="57"/>
      <c r="S35" s="45"/>
    </row>
    <row r="36" spans="1:19" ht="13.5" x14ac:dyDescent="0.25">
      <c r="A36" s="68"/>
      <c r="B36" s="59"/>
      <c r="C36" s="59"/>
      <c r="D36" s="59"/>
      <c r="E36" s="60"/>
      <c r="F36" s="61"/>
      <c r="G36" s="24" t="s">
        <v>26</v>
      </c>
      <c r="H36" s="24"/>
      <c r="I36" s="69"/>
      <c r="J36" s="69"/>
      <c r="K36" s="81">
        <v>2.0083000000000002</v>
      </c>
      <c r="L36" s="70">
        <v>0.25</v>
      </c>
      <c r="M36" s="71">
        <f>+K36*L36</f>
        <v>0.50207500000000005</v>
      </c>
      <c r="N36" s="72">
        <f>+I36*M36</f>
        <v>0</v>
      </c>
      <c r="O36" s="73">
        <f>(+M36/60)*J36</f>
        <v>0</v>
      </c>
      <c r="P36" s="74">
        <f>+N36+O36</f>
        <v>0</v>
      </c>
      <c r="Q36" s="45"/>
      <c r="R36" s="45"/>
      <c r="S36" s="45"/>
    </row>
    <row r="37" spans="1:19" ht="13.5" x14ac:dyDescent="0.25">
      <c r="A37" s="68"/>
      <c r="B37" s="59"/>
      <c r="C37" s="59"/>
      <c r="D37" s="59"/>
      <c r="E37" s="60"/>
      <c r="F37" s="61"/>
      <c r="G37" s="24" t="s">
        <v>27</v>
      </c>
      <c r="H37" s="24"/>
      <c r="I37" s="69">
        <v>49</v>
      </c>
      <c r="J37" s="69">
        <v>45</v>
      </c>
      <c r="K37" s="81">
        <v>2.0083000000000002</v>
      </c>
      <c r="L37" s="70">
        <v>1.5</v>
      </c>
      <c r="M37" s="71">
        <f>+K37*L37</f>
        <v>3.0124500000000003</v>
      </c>
      <c r="N37" s="72">
        <f>+I37*M37</f>
        <v>147.61005</v>
      </c>
      <c r="O37" s="73">
        <f>(+M37/60)*J37</f>
        <v>2.2593375</v>
      </c>
      <c r="P37" s="74">
        <f t="shared" ref="P37:P38" si="90">+N37+O37</f>
        <v>149.86938749999999</v>
      </c>
      <c r="Q37" s="45"/>
      <c r="R37" s="45"/>
      <c r="S37" s="45"/>
    </row>
    <row r="38" spans="1:19" ht="13.5" x14ac:dyDescent="0.25">
      <c r="A38" s="45"/>
      <c r="B38" s="59"/>
      <c r="C38" s="59"/>
      <c r="D38" s="59"/>
      <c r="E38" s="60"/>
      <c r="F38" s="61"/>
      <c r="G38" s="24" t="s">
        <v>28</v>
      </c>
      <c r="H38" s="24"/>
      <c r="I38" s="69">
        <v>100</v>
      </c>
      <c r="J38" s="69">
        <v>24</v>
      </c>
      <c r="K38" s="81">
        <v>2.0083000000000002</v>
      </c>
      <c r="L38" s="70">
        <v>2</v>
      </c>
      <c r="M38" s="71">
        <f>+K38*L38</f>
        <v>4.0166000000000004</v>
      </c>
      <c r="N38" s="72">
        <f>+I38*M38</f>
        <v>401.66</v>
      </c>
      <c r="O38" s="73">
        <f>(+M38/60)*J38</f>
        <v>1.6066400000000001</v>
      </c>
      <c r="P38" s="74">
        <f t="shared" si="90"/>
        <v>403.26664000000005</v>
      </c>
      <c r="Q38" s="45"/>
      <c r="R38" s="75"/>
      <c r="S38" s="75"/>
    </row>
    <row r="39" spans="1:19" ht="16.5" customHeight="1" thickBot="1" x14ac:dyDescent="0.3">
      <c r="A39" s="45"/>
      <c r="B39" s="59"/>
      <c r="C39" s="59"/>
      <c r="D39" s="59"/>
      <c r="E39" s="60"/>
      <c r="F39" s="61"/>
      <c r="G39" s="45"/>
      <c r="H39" s="45"/>
      <c r="I39" s="45"/>
      <c r="J39" s="45"/>
      <c r="K39" s="45"/>
      <c r="L39" s="24" t="s">
        <v>29</v>
      </c>
      <c r="M39" s="76"/>
      <c r="N39" s="77">
        <f>SUM(N36:N38)</f>
        <v>549.27005000000008</v>
      </c>
      <c r="O39" s="78">
        <f>SUM(O36:O38)</f>
        <v>3.8659775000000001</v>
      </c>
      <c r="P39" s="79">
        <f>SUM(P36:P38)</f>
        <v>553.13602750000007</v>
      </c>
      <c r="Q39" s="45"/>
      <c r="R39" s="89" t="s">
        <v>30</v>
      </c>
      <c r="S39" s="89"/>
    </row>
    <row r="41" spans="1:19" x14ac:dyDescent="0.2">
      <c r="F41" s="80"/>
    </row>
    <row r="65272" spans="6:6" x14ac:dyDescent="0.2">
      <c r="F65272" s="9" t="s">
        <v>31</v>
      </c>
    </row>
  </sheetData>
  <mergeCells count="3">
    <mergeCell ref="M5:S5"/>
    <mergeCell ref="G35:H35"/>
    <mergeCell ref="R39:S39"/>
  </mergeCells>
  <pageMargins left="0" right="0" top="0" bottom="0" header="0" footer="0"/>
  <pageSetup paperSize="9" scale="10" orientation="landscape" horizontalDpi="4294967293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4C72-AD04-4250-B336-38BE558207FD}">
  <dimension ref="A1:B6"/>
  <sheetViews>
    <sheetView workbookViewId="0">
      <selection sqref="A1:C6"/>
    </sheetView>
  </sheetViews>
  <sheetFormatPr baseColWidth="10" defaultRowHeight="12.75" x14ac:dyDescent="0.2"/>
  <sheetData>
    <row r="1" spans="1:2" ht="20.25" x14ac:dyDescent="0.3">
      <c r="A1" s="1" t="s">
        <v>38</v>
      </c>
      <c r="B1" s="1"/>
    </row>
    <row r="2" spans="1:2" ht="20.25" x14ac:dyDescent="0.3">
      <c r="A2" s="1" t="s">
        <v>39</v>
      </c>
      <c r="B2" s="1"/>
    </row>
    <row r="3" spans="1:2" ht="20.25" x14ac:dyDescent="0.3">
      <c r="A3" s="1" t="s">
        <v>40</v>
      </c>
      <c r="B3" s="1"/>
    </row>
    <row r="4" spans="1:2" ht="20.25" x14ac:dyDescent="0.3">
      <c r="A4" s="1" t="s">
        <v>41</v>
      </c>
      <c r="B4" s="1"/>
    </row>
    <row r="5" spans="1:2" ht="20.25" x14ac:dyDescent="0.3">
      <c r="A5" s="1" t="s">
        <v>42</v>
      </c>
      <c r="B5" s="1"/>
    </row>
    <row r="6" spans="1:2" ht="20.25" x14ac:dyDescent="0.3">
      <c r="A6" s="1"/>
      <c r="B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junio</vt:lpstr>
      <vt:lpstr>CALCULO 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 CASERO</cp:lastModifiedBy>
  <cp:lastPrinted>2026-06-01T14:30:28Z</cp:lastPrinted>
  <dcterms:created xsi:type="dcterms:W3CDTF">2014-07-31T13:40:19Z</dcterms:created>
  <dcterms:modified xsi:type="dcterms:W3CDTF">2026-06-18T19:15:41Z</dcterms:modified>
</cp:coreProperties>
</file>