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19B41D3B-7F74-4DDA-BE28-4ECA0B593D0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 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J13" i="2"/>
  <c r="M13" i="2"/>
  <c r="Q33" i="2"/>
  <c r="T33" i="2" s="1"/>
  <c r="M33" i="2"/>
  <c r="L33" i="2"/>
  <c r="K33" i="2"/>
  <c r="J33" i="2"/>
  <c r="H33" i="2"/>
  <c r="I33" i="2" s="1"/>
  <c r="G33" i="2"/>
  <c r="Q32" i="2"/>
  <c r="T32" i="2" s="1"/>
  <c r="P32" i="2"/>
  <c r="M32" i="2"/>
  <c r="K32" i="2"/>
  <c r="J32" i="2"/>
  <c r="L32" i="2" s="1"/>
  <c r="H32" i="2"/>
  <c r="G32" i="2"/>
  <c r="I32" i="2" s="1"/>
  <c r="Q26" i="2"/>
  <c r="T26" i="2" s="1"/>
  <c r="P26" i="2"/>
  <c r="M26" i="2"/>
  <c r="K26" i="2"/>
  <c r="J26" i="2"/>
  <c r="H26" i="2"/>
  <c r="G26" i="2"/>
  <c r="I26" i="2" s="1"/>
  <c r="P29" i="2"/>
  <c r="P27" i="2"/>
  <c r="P24" i="2"/>
  <c r="P22" i="2"/>
  <c r="P20" i="2"/>
  <c r="P17" i="2"/>
  <c r="P15" i="2"/>
  <c r="P12" i="2"/>
  <c r="P10" i="2"/>
  <c r="L26" i="2" l="1"/>
  <c r="U31" i="2"/>
  <c r="Q31" i="2"/>
  <c r="M31" i="2"/>
  <c r="K31" i="2"/>
  <c r="J31" i="2"/>
  <c r="L31" i="2" s="1"/>
  <c r="H31" i="2"/>
  <c r="G31" i="2"/>
  <c r="I31" i="2" s="1"/>
  <c r="Q28" i="2"/>
  <c r="T28" i="2" s="1"/>
  <c r="M28" i="2"/>
  <c r="K28" i="2"/>
  <c r="J28" i="2"/>
  <c r="L28" i="2" s="1"/>
  <c r="H28" i="2"/>
  <c r="G28" i="2"/>
  <c r="Q27" i="2"/>
  <c r="T27" i="2" s="1"/>
  <c r="M27" i="2"/>
  <c r="K27" i="2"/>
  <c r="J27" i="2"/>
  <c r="H27" i="2"/>
  <c r="G27" i="2"/>
  <c r="I27" i="2" s="1"/>
  <c r="U25" i="2"/>
  <c r="Q25" i="2"/>
  <c r="M25" i="2"/>
  <c r="K25" i="2"/>
  <c r="J25" i="2"/>
  <c r="L25" i="2" s="1"/>
  <c r="H25" i="2"/>
  <c r="G25" i="2"/>
  <c r="U19" i="2"/>
  <c r="Q19" i="2"/>
  <c r="M19" i="2"/>
  <c r="K19" i="2"/>
  <c r="J19" i="2"/>
  <c r="H19" i="2"/>
  <c r="G19" i="2"/>
  <c r="P8" i="2"/>
  <c r="P34" i="2" s="1"/>
  <c r="Q30" i="2"/>
  <c r="T30" i="2" s="1"/>
  <c r="M30" i="2"/>
  <c r="K30" i="2"/>
  <c r="J30" i="2"/>
  <c r="H30" i="2"/>
  <c r="G30" i="2"/>
  <c r="Q29" i="2"/>
  <c r="T29" i="2" s="1"/>
  <c r="M29" i="2"/>
  <c r="K29" i="2"/>
  <c r="J29" i="2"/>
  <c r="H29" i="2"/>
  <c r="G29" i="2"/>
  <c r="Q18" i="2"/>
  <c r="T18" i="2" s="1"/>
  <c r="M18" i="2"/>
  <c r="K18" i="2"/>
  <c r="J18" i="2"/>
  <c r="H18" i="2"/>
  <c r="G18" i="2"/>
  <c r="Q17" i="2"/>
  <c r="T17" i="2" s="1"/>
  <c r="M17" i="2"/>
  <c r="K17" i="2"/>
  <c r="J17" i="2"/>
  <c r="H17" i="2"/>
  <c r="G17" i="2"/>
  <c r="Q16" i="2"/>
  <c r="T16" i="2" s="1"/>
  <c r="M16" i="2"/>
  <c r="K16" i="2"/>
  <c r="J16" i="2"/>
  <c r="H16" i="2"/>
  <c r="G16" i="2"/>
  <c r="Q15" i="2"/>
  <c r="T15" i="2" s="1"/>
  <c r="M15" i="2"/>
  <c r="K15" i="2"/>
  <c r="J15" i="2"/>
  <c r="H15" i="2"/>
  <c r="G15" i="2"/>
  <c r="Q14" i="2"/>
  <c r="T14" i="2" s="1"/>
  <c r="M14" i="2"/>
  <c r="K14" i="2"/>
  <c r="J14" i="2"/>
  <c r="H14" i="2"/>
  <c r="G14" i="2"/>
  <c r="I14" i="2" l="1"/>
  <c r="U34" i="2"/>
  <c r="I28" i="2"/>
  <c r="L27" i="2"/>
  <c r="L19" i="2"/>
  <c r="I25" i="2"/>
  <c r="I19" i="2"/>
  <c r="I29" i="2"/>
  <c r="I15" i="2"/>
  <c r="L16" i="2"/>
  <c r="L29" i="2"/>
  <c r="I30" i="2"/>
  <c r="L15" i="2"/>
  <c r="L17" i="2"/>
  <c r="I18" i="2"/>
  <c r="L30" i="2"/>
  <c r="I16" i="2"/>
  <c r="I17" i="2"/>
  <c r="L14" i="2"/>
  <c r="L18" i="2"/>
  <c r="Q23" i="2"/>
  <c r="T23" i="2" s="1"/>
  <c r="M23" i="2"/>
  <c r="K23" i="2"/>
  <c r="J23" i="2"/>
  <c r="H23" i="2"/>
  <c r="G23" i="2"/>
  <c r="Q24" i="2"/>
  <c r="T24" i="2" s="1"/>
  <c r="M24" i="2"/>
  <c r="K24" i="2"/>
  <c r="J24" i="2"/>
  <c r="H24" i="2"/>
  <c r="G24" i="2"/>
  <c r="Q22" i="2"/>
  <c r="T22" i="2" s="1"/>
  <c r="M22" i="2"/>
  <c r="K22" i="2"/>
  <c r="J22" i="2"/>
  <c r="H22" i="2"/>
  <c r="G22" i="2"/>
  <c r="Q21" i="2"/>
  <c r="T21" i="2" s="1"/>
  <c r="M21" i="2"/>
  <c r="K21" i="2"/>
  <c r="J21" i="2"/>
  <c r="H21" i="2"/>
  <c r="G21" i="2"/>
  <c r="Q20" i="2"/>
  <c r="T20" i="2" s="1"/>
  <c r="M20" i="2"/>
  <c r="K20" i="2"/>
  <c r="J20" i="2"/>
  <c r="H20" i="2"/>
  <c r="G20" i="2"/>
  <c r="L20" i="2" l="1"/>
  <c r="L22" i="2"/>
  <c r="L24" i="2"/>
  <c r="I22" i="2"/>
  <c r="L23" i="2"/>
  <c r="I21" i="2"/>
  <c r="I23" i="2"/>
  <c r="I20" i="2"/>
  <c r="L21" i="2"/>
  <c r="I24" i="2"/>
  <c r="Q12" i="2"/>
  <c r="T12" i="2" s="1"/>
  <c r="M12" i="2"/>
  <c r="K12" i="2"/>
  <c r="J12" i="2"/>
  <c r="H12" i="2"/>
  <c r="G12" i="2"/>
  <c r="Q11" i="2"/>
  <c r="T11" i="2" s="1"/>
  <c r="M11" i="2"/>
  <c r="K11" i="2"/>
  <c r="J11" i="2"/>
  <c r="H11" i="2"/>
  <c r="G11" i="2"/>
  <c r="Q10" i="2"/>
  <c r="T10" i="2" s="1"/>
  <c r="M10" i="2"/>
  <c r="K10" i="2"/>
  <c r="J10" i="2"/>
  <c r="H10" i="2"/>
  <c r="G10" i="2"/>
  <c r="Q9" i="2"/>
  <c r="T9" i="2" s="1"/>
  <c r="M9" i="2"/>
  <c r="K9" i="2"/>
  <c r="J9" i="2"/>
  <c r="H9" i="2"/>
  <c r="G9" i="2"/>
  <c r="Q8" i="2"/>
  <c r="T8" i="2" s="1"/>
  <c r="M8" i="2"/>
  <c r="K8" i="2"/>
  <c r="J8" i="2"/>
  <c r="H8" i="2"/>
  <c r="G8" i="2"/>
  <c r="T34" i="2" l="1"/>
  <c r="L12" i="2"/>
  <c r="I12" i="2"/>
  <c r="I8" i="2"/>
  <c r="I10" i="2"/>
  <c r="L11" i="2"/>
  <c r="I9" i="2"/>
  <c r="L8" i="2"/>
  <c r="L9" i="2"/>
  <c r="L10" i="2"/>
  <c r="I11" i="2"/>
  <c r="P8" i="3" l="1"/>
  <c r="H48" i="3" l="1"/>
  <c r="P33" i="3"/>
  <c r="P32" i="3"/>
  <c r="P31" i="3"/>
  <c r="P30" i="3"/>
  <c r="P28" i="3"/>
  <c r="P27" i="3"/>
  <c r="P26" i="3"/>
  <c r="P25" i="3"/>
  <c r="P24" i="3"/>
  <c r="P22" i="3"/>
  <c r="P21" i="3"/>
  <c r="P20" i="3"/>
  <c r="P19" i="3"/>
  <c r="P18" i="3"/>
  <c r="P16" i="3"/>
  <c r="P15" i="3"/>
  <c r="P14" i="3"/>
  <c r="P13" i="3"/>
  <c r="P12" i="3"/>
  <c r="P9" i="3"/>
  <c r="P10" i="3"/>
  <c r="M39" i="3" l="1"/>
  <c r="O39" i="3" s="1"/>
  <c r="M38" i="3"/>
  <c r="N38" i="3" s="1"/>
  <c r="O37" i="3"/>
  <c r="M37" i="3"/>
  <c r="N37" i="3" s="1"/>
  <c r="Q33" i="3"/>
  <c r="S33" i="3" s="1"/>
  <c r="M33" i="3"/>
  <c r="K33" i="3"/>
  <c r="J33" i="3"/>
  <c r="L33" i="3" s="1"/>
  <c r="H33" i="3"/>
  <c r="G33" i="3"/>
  <c r="Q32" i="3"/>
  <c r="S32" i="3" s="1"/>
  <c r="M32" i="3"/>
  <c r="K32" i="3"/>
  <c r="J32" i="3"/>
  <c r="H32" i="3"/>
  <c r="G32" i="3"/>
  <c r="I32" i="3" s="1"/>
  <c r="Q31" i="3"/>
  <c r="S31" i="3" s="1"/>
  <c r="M31" i="3"/>
  <c r="K31" i="3"/>
  <c r="J31" i="3"/>
  <c r="L31" i="3" s="1"/>
  <c r="H31" i="3"/>
  <c r="G31" i="3"/>
  <c r="Q30" i="3"/>
  <c r="S30" i="3" s="1"/>
  <c r="M30" i="3"/>
  <c r="K30" i="3"/>
  <c r="J30" i="3"/>
  <c r="H30" i="3"/>
  <c r="G30" i="3"/>
  <c r="T29" i="3"/>
  <c r="Q29" i="3"/>
  <c r="M29" i="3"/>
  <c r="K29" i="3"/>
  <c r="J29" i="3"/>
  <c r="L29" i="3" s="1"/>
  <c r="H29" i="3"/>
  <c r="I29" i="3" s="1"/>
  <c r="G29" i="3"/>
  <c r="Q28" i="3"/>
  <c r="S28" i="3" s="1"/>
  <c r="M28" i="3"/>
  <c r="K28" i="3"/>
  <c r="J28" i="3"/>
  <c r="H28" i="3"/>
  <c r="G28" i="3"/>
  <c r="I28" i="3" s="1"/>
  <c r="S27" i="3"/>
  <c r="Q27" i="3"/>
  <c r="M27" i="3"/>
  <c r="K27" i="3"/>
  <c r="L27" i="3" s="1"/>
  <c r="J27" i="3"/>
  <c r="H27" i="3"/>
  <c r="G27" i="3"/>
  <c r="Q26" i="3"/>
  <c r="S26" i="3" s="1"/>
  <c r="M26" i="3"/>
  <c r="K26" i="3"/>
  <c r="J26" i="3"/>
  <c r="L26" i="3" s="1"/>
  <c r="H26" i="3"/>
  <c r="G26" i="3"/>
  <c r="Q25" i="3"/>
  <c r="S25" i="3" s="1"/>
  <c r="M25" i="3"/>
  <c r="K25" i="3"/>
  <c r="J25" i="3"/>
  <c r="H25" i="3"/>
  <c r="G25" i="3"/>
  <c r="Q24" i="3"/>
  <c r="S24" i="3" s="1"/>
  <c r="M24" i="3"/>
  <c r="K24" i="3"/>
  <c r="J24" i="3"/>
  <c r="H24" i="3"/>
  <c r="G24" i="3"/>
  <c r="T23" i="3"/>
  <c r="Q23" i="3"/>
  <c r="M23" i="3"/>
  <c r="K23" i="3"/>
  <c r="J23" i="3"/>
  <c r="H23" i="3"/>
  <c r="G23" i="3"/>
  <c r="I23" i="3" s="1"/>
  <c r="Q22" i="3"/>
  <c r="S22" i="3" s="1"/>
  <c r="M22" i="3"/>
  <c r="K22" i="3"/>
  <c r="J22" i="3"/>
  <c r="L22" i="3" s="1"/>
  <c r="H22" i="3"/>
  <c r="G22" i="3"/>
  <c r="I22" i="3" s="1"/>
  <c r="Q21" i="3"/>
  <c r="S21" i="3" s="1"/>
  <c r="M21" i="3"/>
  <c r="K21" i="3"/>
  <c r="J21" i="3"/>
  <c r="H21" i="3"/>
  <c r="G21" i="3"/>
  <c r="Q20" i="3"/>
  <c r="S20" i="3" s="1"/>
  <c r="M20" i="3"/>
  <c r="K20" i="3"/>
  <c r="J20" i="3"/>
  <c r="H20" i="3"/>
  <c r="G20" i="3"/>
  <c r="I20" i="3" s="1"/>
  <c r="Q19" i="3"/>
  <c r="S19" i="3" s="1"/>
  <c r="M19" i="3"/>
  <c r="K19" i="3"/>
  <c r="J19" i="3"/>
  <c r="H19" i="3"/>
  <c r="G19" i="3"/>
  <c r="Q18" i="3"/>
  <c r="S18" i="3" s="1"/>
  <c r="M18" i="3"/>
  <c r="K18" i="3"/>
  <c r="J18" i="3"/>
  <c r="H18" i="3"/>
  <c r="G18" i="3"/>
  <c r="I18" i="3" s="1"/>
  <c r="T17" i="3"/>
  <c r="Q17" i="3"/>
  <c r="M17" i="3"/>
  <c r="K17" i="3"/>
  <c r="J17" i="3"/>
  <c r="H17" i="3"/>
  <c r="G17" i="3"/>
  <c r="Q16" i="3"/>
  <c r="S16" i="3" s="1"/>
  <c r="M16" i="3"/>
  <c r="K16" i="3"/>
  <c r="J16" i="3"/>
  <c r="L16" i="3" s="1"/>
  <c r="H16" i="3"/>
  <c r="I16" i="3" s="1"/>
  <c r="G16" i="3"/>
  <c r="Q15" i="3"/>
  <c r="S15" i="3" s="1"/>
  <c r="M15" i="3"/>
  <c r="K15" i="3"/>
  <c r="J15" i="3"/>
  <c r="H15" i="3"/>
  <c r="G15" i="3"/>
  <c r="S14" i="3"/>
  <c r="Q14" i="3"/>
  <c r="M14" i="3"/>
  <c r="K14" i="3"/>
  <c r="J14" i="3"/>
  <c r="H14" i="3"/>
  <c r="G14" i="3"/>
  <c r="Q13" i="3"/>
  <c r="S13" i="3" s="1"/>
  <c r="M13" i="3"/>
  <c r="K13" i="3"/>
  <c r="J13" i="3"/>
  <c r="L13" i="3" s="1"/>
  <c r="H13" i="3"/>
  <c r="G13" i="3"/>
  <c r="Q12" i="3"/>
  <c r="S12" i="3" s="1"/>
  <c r="M12" i="3"/>
  <c r="K12" i="3"/>
  <c r="J12" i="3"/>
  <c r="L12" i="3" s="1"/>
  <c r="H12" i="3"/>
  <c r="G12" i="3"/>
  <c r="T11" i="3"/>
  <c r="Q11" i="3"/>
  <c r="M11" i="3"/>
  <c r="K11" i="3"/>
  <c r="J11" i="3"/>
  <c r="L11" i="3" s="1"/>
  <c r="H11" i="3"/>
  <c r="I11" i="3" s="1"/>
  <c r="G11" i="3"/>
  <c r="Q10" i="3"/>
  <c r="S10" i="3" s="1"/>
  <c r="M10" i="3"/>
  <c r="K10" i="3"/>
  <c r="L10" i="3" s="1"/>
  <c r="J10" i="3"/>
  <c r="H10" i="3"/>
  <c r="G10" i="3"/>
  <c r="I10" i="3" s="1"/>
  <c r="S9" i="3"/>
  <c r="Q9" i="3"/>
  <c r="M9" i="3"/>
  <c r="K9" i="3"/>
  <c r="J9" i="3"/>
  <c r="L9" i="3" s="1"/>
  <c r="H9" i="3"/>
  <c r="G9" i="3"/>
  <c r="I9" i="3" s="1"/>
  <c r="Q8" i="3"/>
  <c r="S8" i="3" s="1"/>
  <c r="M8" i="3"/>
  <c r="K8" i="3"/>
  <c r="J8" i="3"/>
  <c r="H8" i="3"/>
  <c r="G8" i="3"/>
  <c r="L14" i="3" l="1"/>
  <c r="I15" i="3"/>
  <c r="L32" i="3"/>
  <c r="I33" i="3"/>
  <c r="I25" i="3"/>
  <c r="O38" i="3"/>
  <c r="P38" i="3" s="1"/>
  <c r="I12" i="3"/>
  <c r="L17" i="3"/>
  <c r="L18" i="3"/>
  <c r="I19" i="3"/>
  <c r="I21" i="3"/>
  <c r="I24" i="3"/>
  <c r="L25" i="3"/>
  <c r="I31" i="3"/>
  <c r="L19" i="3"/>
  <c r="L23" i="3"/>
  <c r="L8" i="3"/>
  <c r="T34" i="3"/>
  <c r="I14" i="3"/>
  <c r="I27" i="3"/>
  <c r="L30" i="3"/>
  <c r="N39" i="3"/>
  <c r="P39" i="3" s="1"/>
  <c r="I8" i="3"/>
  <c r="I13" i="3"/>
  <c r="L15" i="3"/>
  <c r="I17" i="3"/>
  <c r="L20" i="3"/>
  <c r="L21" i="3"/>
  <c r="L24" i="3"/>
  <c r="I26" i="3"/>
  <c r="L28" i="3"/>
  <c r="I30" i="3"/>
  <c r="P34" i="3"/>
  <c r="S34" i="3"/>
  <c r="P37" i="3"/>
  <c r="O40" i="3" l="1"/>
  <c r="P40" i="3"/>
  <c r="N40" i="3"/>
  <c r="M42" i="2" l="1"/>
  <c r="M41" i="2"/>
  <c r="M40" i="2"/>
  <c r="N40" i="2" s="1"/>
  <c r="N42" i="2" l="1"/>
  <c r="O42" i="2"/>
  <c r="O41" i="2"/>
  <c r="N41" i="2"/>
  <c r="O40" i="2"/>
  <c r="P40" i="2" s="1"/>
  <c r="P41" i="2" l="1"/>
  <c r="P42" i="2"/>
  <c r="O43" i="2"/>
  <c r="N43" i="2"/>
  <c r="P43" i="2" l="1"/>
</calcChain>
</file>

<file path=xl/sharedStrings.xml><?xml version="1.0" encoding="utf-8"?>
<sst xmlns="http://schemas.openxmlformats.org/spreadsheetml/2006/main" count="167" uniqueCount="76">
  <si>
    <t>Entrada</t>
  </si>
  <si>
    <t>Salida</t>
  </si>
  <si>
    <t>PAN CASERO</t>
  </si>
  <si>
    <t>HORARIO</t>
  </si>
  <si>
    <t>ENTRADA</t>
  </si>
  <si>
    <t>SALIDA</t>
  </si>
  <si>
    <t>BOLIVAR  ARIAS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</si>
  <si>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</si>
  <si>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</si>
  <si>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</si>
  <si>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</si>
  <si>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</si>
  <si>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</si>
  <si>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</si>
  <si>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</si>
  <si>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Salida                     Temprano</t>
  </si>
  <si>
    <t>Marco entrada</t>
  </si>
  <si>
    <t>Horas               normales</t>
  </si>
  <si>
    <t>Hora nocturna salida</t>
  </si>
  <si>
    <t xml:space="preserve">Horas Nocturnas </t>
  </si>
  <si>
    <t>Horas Suplement Base</t>
  </si>
  <si>
    <t>Horario normal</t>
  </si>
  <si>
    <t xml:space="preserve">Horas Suplementarias </t>
  </si>
  <si>
    <t xml:space="preserve">Horas Extraordinarias 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</si>
  <si>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</si>
  <si>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</si>
  <si>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</si>
  <si>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</si>
  <si>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</si>
  <si>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</si>
  <si>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</si>
  <si>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  minutos               US$</t>
  </si>
  <si>
    <t>Valor total US$</t>
  </si>
  <si>
    <t>Horas nocturnas</t>
  </si>
  <si>
    <t>Horas suplemenarias</t>
  </si>
  <si>
    <t>Horas extraordinarias</t>
  </si>
  <si>
    <t>Total</t>
  </si>
  <si>
    <t>FIRMA CONFORME</t>
  </si>
  <si>
    <t>REPORTES DE HORAS RELOJ JUNIO 2016</t>
  </si>
  <si>
    <t>PAGADO</t>
  </si>
  <si>
    <t>CORREGIDO</t>
  </si>
  <si>
    <t>POR PAGAR</t>
  </si>
  <si>
    <t>AC-No.</t>
  </si>
  <si>
    <t>IMSS/CURP</t>
  </si>
  <si>
    <t>Nombre</t>
  </si>
  <si>
    <t>Fecha y hora</t>
  </si>
  <si>
    <t>COMIDA</t>
  </si>
  <si>
    <t>ZAIDA DIDONATO</t>
  </si>
  <si>
    <t>5</t>
  </si>
  <si>
    <t>BOLIVAR 5</t>
  </si>
  <si>
    <t>REPORTES DE HORAS RELOJ JUNIO 2026</t>
  </si>
  <si>
    <t>01/06/2026 06:22:08</t>
  </si>
  <si>
    <t>01/06/2026 06:22:10</t>
  </si>
  <si>
    <t>01/06/2026 20:37:18</t>
  </si>
  <si>
    <t>02/06/2026 06:25:03</t>
  </si>
  <si>
    <t>02/06/2026 06:25:05</t>
  </si>
  <si>
    <t>02/06/2026 14:24:28</t>
  </si>
  <si>
    <t>03/06/2026 06:20:28</t>
  </si>
  <si>
    <t>03/06/2026 20:35:30</t>
  </si>
  <si>
    <t>04/06/2026 06:24:35</t>
  </si>
  <si>
    <t>04/06/2026 06:24:37</t>
  </si>
  <si>
    <t>04/06/2026 14:34:41</t>
  </si>
  <si>
    <t>05/06/2026 06:25:39</t>
  </si>
  <si>
    <t>05/06/2026 20:36:09</t>
  </si>
  <si>
    <t>06/06/2026 06:27:50</t>
  </si>
  <si>
    <t>08/06/2026 06:25:56</t>
  </si>
  <si>
    <t>08/06/2026 14:32:42</t>
  </si>
  <si>
    <t>09/06/2026 06:25:54</t>
  </si>
  <si>
    <t>09/06/2026 20:36:12</t>
  </si>
  <si>
    <t>10/06/2026 06:23:07</t>
  </si>
  <si>
    <t>10/06/2026 06:23:09</t>
  </si>
  <si>
    <t>10/06/2026 14:15:29</t>
  </si>
  <si>
    <t>11/06/2026 06:24:47</t>
  </si>
  <si>
    <t>11/06/2026 20:35:24</t>
  </si>
  <si>
    <t>12/06/2026 06:23:33</t>
  </si>
  <si>
    <t>12/06/2026 06:23:35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</si>
</sst>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erlin Sans FB"/>
      <family val="2"/>
    </font>
    <font>
      <sz val="10"/>
      <name val="Berlin Sans FB"/>
      <family val="2"/>
    </font>
    <font>
      <sz val="9"/>
      <color theme="1"/>
      <name val="Berlin Sans FB"/>
      <family val="2"/>
    </font>
    <font>
      <sz val="8"/>
      <color theme="1"/>
      <name val="Berlin Sans FB"/>
      <family val="2"/>
    </font>
    <font>
      <sz val="10"/>
      <color theme="1"/>
      <name val="Calibri"/>
      <family val="2"/>
    </font>
    <font>
      <sz val="8"/>
      <name val="Eras Medium ITC"/>
      <family val="2"/>
    </font>
    <font>
      <sz val="8"/>
      <name val="Tahoma"/>
      <family val="2"/>
    </font>
    <font>
      <sz val="8"/>
      <name val="Arial"/>
      <family val="2"/>
    </font>
    <font>
      <sz val="9"/>
      <name val="Malgun Gothic"/>
      <family val="2"/>
    </font>
    <font>
      <sz val="10"/>
      <name val="Malgun Gothic"/>
      <family val="2"/>
    </font>
    <font>
      <b/>
      <sz val="10"/>
      <name val="Malgun Gothic"/>
      <family val="2"/>
    </font>
    <font>
      <b/>
      <sz val="9"/>
      <name val="Malgun Gothic"/>
      <family val="2"/>
    </font>
    <font>
      <sz val="8"/>
      <name val="Tahoma"/>
      <family val="2"/>
    </font>
    <font>
      <sz val="8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21" fontId="4" fillId="0" borderId="3" xfId="0" applyNumberFormat="1" applyFont="1" applyBorder="1" applyAlignment="1">
      <alignment horizontal="center" vertical="center"/>
    </xf>
    <xf numFmtId="2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3" xfId="1" applyFont="1" applyBorder="1" applyAlignment="1">
      <alignment horizontal="left"/>
    </xf>
    <xf numFmtId="14" fontId="4" fillId="0" borderId="3" xfId="1" applyNumberFormat="1" applyFont="1" applyBorder="1"/>
    <xf numFmtId="21" fontId="4" fillId="0" borderId="3" xfId="1" applyNumberFormat="1" applyFont="1" applyBorder="1"/>
    <xf numFmtId="21" fontId="4" fillId="0" borderId="3" xfId="1" applyNumberFormat="1" applyFont="1" applyBorder="1" applyAlignment="1">
      <alignment horizontal="right"/>
    </xf>
    <xf numFmtId="21" fontId="4" fillId="0" borderId="5" xfId="1" applyNumberFormat="1" applyFont="1" applyBorder="1" applyAlignment="1">
      <alignment horizontal="right"/>
    </xf>
    <xf numFmtId="21" fontId="4" fillId="0" borderId="13" xfId="0" applyNumberFormat="1" applyFont="1" applyBorder="1" applyAlignment="1">
      <alignment horizontal="right"/>
    </xf>
    <xf numFmtId="21" fontId="4" fillId="0" borderId="3" xfId="0" applyNumberFormat="1" applyFont="1" applyBorder="1" applyAlignment="1">
      <alignment horizontal="right"/>
    </xf>
    <xf numFmtId="20" fontId="3" fillId="0" borderId="14" xfId="0" applyNumberFormat="1" applyFont="1" applyBorder="1" applyAlignment="1">
      <alignment horizontal="right"/>
    </xf>
    <xf numFmtId="21" fontId="3" fillId="0" borderId="2" xfId="0" applyNumberFormat="1" applyFont="1" applyBorder="1" applyAlignment="1">
      <alignment horizontal="center"/>
    </xf>
    <xf numFmtId="21" fontId="3" fillId="0" borderId="3" xfId="0" applyNumberFormat="1" applyFont="1" applyBorder="1"/>
    <xf numFmtId="49" fontId="3" fillId="0" borderId="0" xfId="0" applyNumberFormat="1" applyFont="1" applyAlignment="1">
      <alignment horizontal="left" vertical="center"/>
    </xf>
    <xf numFmtId="0" fontId="4" fillId="4" borderId="3" xfId="1" applyFont="1" applyFill="1" applyBorder="1" applyAlignment="1">
      <alignment horizontal="left"/>
    </xf>
    <xf numFmtId="14" fontId="4" fillId="4" borderId="3" xfId="1" applyNumberFormat="1" applyFont="1" applyFill="1" applyBorder="1"/>
    <xf numFmtId="21" fontId="4" fillId="4" borderId="3" xfId="1" applyNumberFormat="1" applyFont="1" applyFill="1" applyBorder="1"/>
    <xf numFmtId="21" fontId="4" fillId="4" borderId="3" xfId="1" applyNumberFormat="1" applyFont="1" applyFill="1" applyBorder="1" applyAlignment="1">
      <alignment horizontal="right"/>
    </xf>
    <xf numFmtId="21" fontId="4" fillId="4" borderId="5" xfId="1" applyNumberFormat="1" applyFont="1" applyFill="1" applyBorder="1" applyAlignment="1">
      <alignment horizontal="right"/>
    </xf>
    <xf numFmtId="21" fontId="4" fillId="4" borderId="13" xfId="0" applyNumberFormat="1" applyFont="1" applyFill="1" applyBorder="1" applyAlignment="1">
      <alignment horizontal="right"/>
    </xf>
    <xf numFmtId="21" fontId="4" fillId="4" borderId="3" xfId="0" applyNumberFormat="1" applyFont="1" applyFill="1" applyBorder="1" applyAlignment="1">
      <alignment horizontal="right"/>
    </xf>
    <xf numFmtId="20" fontId="3" fillId="4" borderId="14" xfId="0" applyNumberFormat="1" applyFont="1" applyFill="1" applyBorder="1" applyAlignment="1">
      <alignment horizontal="right"/>
    </xf>
    <xf numFmtId="21" fontId="3" fillId="4" borderId="2" xfId="0" applyNumberFormat="1" applyFont="1" applyFill="1" applyBorder="1" applyAlignment="1">
      <alignment horizontal="center"/>
    </xf>
    <xf numFmtId="21" fontId="4" fillId="4" borderId="3" xfId="0" applyNumberFormat="1" applyFont="1" applyFill="1" applyBorder="1" applyAlignment="1">
      <alignment horizontal="center"/>
    </xf>
    <xf numFmtId="21" fontId="3" fillId="4" borderId="3" xfId="0" applyNumberFormat="1" applyFont="1" applyFill="1" applyBorder="1"/>
    <xf numFmtId="49" fontId="3" fillId="0" borderId="0" xfId="0" applyNumberFormat="1" applyFont="1" applyAlignment="1">
      <alignment horizontal="left"/>
    </xf>
    <xf numFmtId="46" fontId="3" fillId="3" borderId="0" xfId="0" applyNumberFormat="1" applyFont="1" applyFill="1"/>
    <xf numFmtId="49" fontId="3" fillId="0" borderId="0" xfId="0" applyNumberFormat="1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5" fillId="0" borderId="3" xfId="0" applyFont="1" applyBorder="1"/>
    <xf numFmtId="2" fontId="5" fillId="0" borderId="3" xfId="0" applyNumberFormat="1" applyFont="1" applyBorder="1"/>
    <xf numFmtId="164" fontId="5" fillId="0" borderId="3" xfId="2" applyNumberFormat="1" applyFont="1" applyBorder="1"/>
    <xf numFmtId="43" fontId="5" fillId="0" borderId="3" xfId="2" applyFont="1" applyBorder="1"/>
    <xf numFmtId="43" fontId="5" fillId="0" borderId="5" xfId="0" applyNumberFormat="1" applyFont="1" applyBorder="1"/>
    <xf numFmtId="2" fontId="5" fillId="0" borderId="13" xfId="2" applyNumberFormat="1" applyFont="1" applyBorder="1"/>
    <xf numFmtId="2" fontId="5" fillId="0" borderId="14" xfId="0" applyNumberFormat="1" applyFont="1" applyBorder="1"/>
    <xf numFmtId="0" fontId="3" fillId="0" borderId="19" xfId="0" applyFont="1" applyBorder="1"/>
    <xf numFmtId="0" fontId="5" fillId="0" borderId="0" xfId="0" applyFont="1"/>
    <xf numFmtId="0" fontId="5" fillId="0" borderId="5" xfId="0" applyFont="1" applyBorder="1"/>
    <xf numFmtId="2" fontId="5" fillId="0" borderId="15" xfId="0" applyNumberFormat="1" applyFont="1" applyBorder="1"/>
    <xf numFmtId="2" fontId="5" fillId="0" borderId="20" xfId="0" applyNumberFormat="1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21" fontId="3" fillId="0" borderId="0" xfId="0" applyNumberFormat="1" applyFont="1"/>
    <xf numFmtId="1" fontId="3" fillId="0" borderId="0" xfId="0" applyNumberFormat="1" applyFont="1"/>
    <xf numFmtId="21" fontId="7" fillId="0" borderId="3" xfId="0" applyNumberFormat="1" applyFont="1" applyBorder="1"/>
    <xf numFmtId="0" fontId="3" fillId="3" borderId="0" xfId="0" applyFont="1" applyFill="1"/>
    <xf numFmtId="0" fontId="8" fillId="0" borderId="0" xfId="0" applyFont="1"/>
    <xf numFmtId="0" fontId="10" fillId="0" borderId="0" xfId="0" applyFont="1"/>
    <xf numFmtId="49" fontId="9" fillId="7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5" borderId="0" xfId="0" applyFont="1" applyFill="1"/>
    <xf numFmtId="0" fontId="11" fillId="0" borderId="2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21" fontId="11" fillId="0" borderId="3" xfId="0" applyNumberFormat="1" applyFont="1" applyBorder="1" applyAlignment="1">
      <alignment horizontal="center" vertical="center"/>
    </xf>
    <xf numFmtId="21" fontId="11" fillId="0" borderId="3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2" fillId="0" borderId="3" xfId="1" applyFont="1" applyBorder="1" applyAlignment="1">
      <alignment horizontal="left"/>
    </xf>
    <xf numFmtId="14" fontId="12" fillId="0" borderId="3" xfId="1" applyNumberFormat="1" applyFont="1" applyBorder="1"/>
    <xf numFmtId="21" fontId="12" fillId="0" borderId="3" xfId="1" applyNumberFormat="1" applyFont="1" applyBorder="1"/>
    <xf numFmtId="20" fontId="12" fillId="5" borderId="3" xfId="0" applyNumberFormat="1" applyFont="1" applyFill="1" applyBorder="1" applyAlignment="1">
      <alignment horizontal="center"/>
    </xf>
    <xf numFmtId="21" fontId="12" fillId="0" borderId="2" xfId="0" applyNumberFormat="1" applyFont="1" applyBorder="1" applyAlignment="1">
      <alignment horizontal="right"/>
    </xf>
    <xf numFmtId="21" fontId="12" fillId="0" borderId="3" xfId="0" applyNumberFormat="1" applyFont="1" applyBorder="1" applyAlignment="1">
      <alignment horizontal="right"/>
    </xf>
    <xf numFmtId="20" fontId="12" fillId="0" borderId="14" xfId="0" applyNumberFormat="1" applyFont="1" applyBorder="1" applyAlignment="1">
      <alignment horizontal="right"/>
    </xf>
    <xf numFmtId="21" fontId="12" fillId="0" borderId="2" xfId="0" applyNumberFormat="1" applyFont="1" applyBorder="1" applyAlignment="1">
      <alignment horizontal="left"/>
    </xf>
    <xf numFmtId="21" fontId="12" fillId="0" borderId="2" xfId="0" applyNumberFormat="1" applyFont="1" applyBorder="1" applyAlignment="1">
      <alignment horizontal="center"/>
    </xf>
    <xf numFmtId="21" fontId="12" fillId="0" borderId="3" xfId="0" applyNumberFormat="1" applyFont="1" applyBorder="1"/>
    <xf numFmtId="21" fontId="12" fillId="5" borderId="3" xfId="0" applyNumberFormat="1" applyFont="1" applyFill="1" applyBorder="1"/>
    <xf numFmtId="21" fontId="12" fillId="0" borderId="3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left" vertical="center"/>
    </xf>
    <xf numFmtId="0" fontId="12" fillId="4" borderId="3" xfId="1" applyFont="1" applyFill="1" applyBorder="1" applyAlignment="1">
      <alignment horizontal="left"/>
    </xf>
    <xf numFmtId="14" fontId="12" fillId="4" borderId="3" xfId="1" applyNumberFormat="1" applyFont="1" applyFill="1" applyBorder="1"/>
    <xf numFmtId="21" fontId="12" fillId="4" borderId="3" xfId="1" applyNumberFormat="1" applyFont="1" applyFill="1" applyBorder="1"/>
    <xf numFmtId="20" fontId="12" fillId="4" borderId="3" xfId="0" applyNumberFormat="1" applyFont="1" applyFill="1" applyBorder="1" applyAlignment="1">
      <alignment horizontal="center"/>
    </xf>
    <xf numFmtId="21" fontId="12" fillId="4" borderId="2" xfId="0" applyNumberFormat="1" applyFont="1" applyFill="1" applyBorder="1" applyAlignment="1">
      <alignment horizontal="right"/>
    </xf>
    <xf numFmtId="21" fontId="12" fillId="4" borderId="3" xfId="0" applyNumberFormat="1" applyFont="1" applyFill="1" applyBorder="1" applyAlignment="1">
      <alignment horizontal="right"/>
    </xf>
    <xf numFmtId="20" fontId="12" fillId="4" borderId="14" xfId="0" applyNumberFormat="1" applyFont="1" applyFill="1" applyBorder="1" applyAlignment="1">
      <alignment horizontal="right"/>
    </xf>
    <xf numFmtId="21" fontId="12" fillId="4" borderId="2" xfId="0" applyNumberFormat="1" applyFont="1" applyFill="1" applyBorder="1" applyAlignment="1">
      <alignment horizontal="left"/>
    </xf>
    <xf numFmtId="21" fontId="12" fillId="4" borderId="2" xfId="0" applyNumberFormat="1" applyFont="1" applyFill="1" applyBorder="1" applyAlignment="1">
      <alignment horizontal="center"/>
    </xf>
    <xf numFmtId="21" fontId="12" fillId="4" borderId="3" xfId="0" applyNumberFormat="1" applyFont="1" applyFill="1" applyBorder="1"/>
    <xf numFmtId="20" fontId="12" fillId="6" borderId="3" xfId="0" applyNumberFormat="1" applyFont="1" applyFill="1" applyBorder="1" applyAlignment="1">
      <alignment horizontal="center"/>
    </xf>
    <xf numFmtId="20" fontId="12" fillId="0" borderId="3" xfId="0" applyNumberFormat="1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6" fontId="13" fillId="5" borderId="3" xfId="0" applyNumberFormat="1" applyFont="1" applyFill="1" applyBorder="1"/>
    <xf numFmtId="0" fontId="13" fillId="5" borderId="3" xfId="0" applyFont="1" applyFill="1" applyBorder="1"/>
    <xf numFmtId="46" fontId="14" fillId="5" borderId="0" xfId="0" applyNumberFormat="1" applyFont="1" applyFill="1"/>
    <xf numFmtId="0" fontId="14" fillId="5" borderId="0" xfId="0" applyFont="1" applyFill="1"/>
    <xf numFmtId="49" fontId="11" fillId="0" borderId="0" xfId="0" applyNumberFormat="1" applyFont="1"/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2" fontId="11" fillId="0" borderId="3" xfId="0" applyNumberFormat="1" applyFont="1" applyBorder="1"/>
    <xf numFmtId="43" fontId="11" fillId="0" borderId="3" xfId="2" applyFont="1" applyBorder="1"/>
    <xf numFmtId="43" fontId="11" fillId="0" borderId="5" xfId="0" applyNumberFormat="1" applyFont="1" applyBorder="1" applyAlignment="1">
      <alignment horizontal="left"/>
    </xf>
    <xf numFmtId="2" fontId="11" fillId="0" borderId="13" xfId="2" applyNumberFormat="1" applyFont="1" applyBorder="1"/>
    <xf numFmtId="2" fontId="11" fillId="0" borderId="14" xfId="0" applyNumberFormat="1" applyFont="1" applyBorder="1"/>
    <xf numFmtId="0" fontId="11" fillId="0" borderId="19" xfId="0" applyFont="1" applyBorder="1"/>
    <xf numFmtId="21" fontId="11" fillId="0" borderId="0" xfId="0" applyNumberFormat="1" applyFont="1"/>
    <xf numFmtId="0" fontId="11" fillId="0" borderId="3" xfId="0" applyFont="1" applyBorder="1"/>
    <xf numFmtId="0" fontId="11" fillId="0" borderId="5" xfId="0" applyFont="1" applyBorder="1" applyAlignment="1">
      <alignment horizontal="left"/>
    </xf>
    <xf numFmtId="2" fontId="11" fillId="0" borderId="15" xfId="0" applyNumberFormat="1" applyFont="1" applyBorder="1"/>
    <xf numFmtId="2" fontId="11" fillId="0" borderId="20" xfId="0" applyNumberFormat="1" applyFont="1" applyBorder="1"/>
    <xf numFmtId="49" fontId="11" fillId="0" borderId="0" xfId="0" applyNumberFormat="1" applyFont="1" applyAlignment="1">
      <alignment horizontal="left"/>
    </xf>
    <xf numFmtId="22" fontId="10" fillId="0" borderId="0" xfId="0" applyNumberFormat="1" applyFont="1" applyAlignment="1">
      <alignment horizontal="left"/>
    </xf>
    <xf numFmtId="165" fontId="11" fillId="0" borderId="3" xfId="2" applyNumberFormat="1" applyFont="1" applyBorder="1"/>
    <xf numFmtId="49" fontId="9" fillId="7" borderId="23" xfId="0" applyNumberFormat="1" applyFont="1" applyFill="1" applyBorder="1" applyAlignment="1">
      <alignment horizontal="left" vertical="center"/>
    </xf>
    <xf numFmtId="49" fontId="15" fillId="7" borderId="23" xfId="0" applyNumberFormat="1" applyFont="1" applyFill="1" applyBorder="1" applyAlignment="1">
      <alignment horizontal="left" vertical="center"/>
    </xf>
    <xf numFmtId="49" fontId="16" fillId="7" borderId="23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5"/>
  <sheetViews>
    <sheetView topLeftCell="A10" workbookViewId="0">
      <selection activeCell="C24" sqref="C24"/>
    </sheetView>
  </sheetViews>
  <sheetFormatPr baseColWidth="10" defaultRowHeight="11.25" x14ac:dyDescent="0.2"/>
  <cols>
    <col min="1" max="1" width="9.85546875" style="62" customWidth="1"/>
    <col min="2" max="2" width="11.7109375" style="62" customWidth="1"/>
    <col min="3" max="3" width="17.28515625" style="62" customWidth="1"/>
    <col min="4" max="4" width="17.5703125" style="65" customWidth="1"/>
    <col min="5" max="242" width="11.42578125" style="62"/>
    <col min="243" max="243" width="20" style="62" customWidth="1"/>
    <col min="244" max="498" width="11.42578125" style="62"/>
    <col min="499" max="499" width="20" style="62" customWidth="1"/>
    <col min="500" max="754" width="11.42578125" style="62"/>
    <col min="755" max="755" width="20" style="62" customWidth="1"/>
    <col min="756" max="1010" width="11.42578125" style="62"/>
    <col min="1011" max="1011" width="20" style="62" customWidth="1"/>
    <col min="1012" max="1266" width="11.42578125" style="62"/>
    <col min="1267" max="1267" width="20" style="62" customWidth="1"/>
    <col min="1268" max="1522" width="11.42578125" style="62"/>
    <col min="1523" max="1523" width="20" style="62" customWidth="1"/>
    <col min="1524" max="1778" width="11.42578125" style="62"/>
    <col min="1779" max="1779" width="20" style="62" customWidth="1"/>
    <col min="1780" max="2034" width="11.42578125" style="62"/>
    <col min="2035" max="2035" width="20" style="62" customWidth="1"/>
    <col min="2036" max="2290" width="11.42578125" style="62"/>
    <col min="2291" max="2291" width="20" style="62" customWidth="1"/>
    <col min="2292" max="2546" width="11.42578125" style="62"/>
    <col min="2547" max="2547" width="20" style="62" customWidth="1"/>
    <col min="2548" max="2802" width="11.42578125" style="62"/>
    <col min="2803" max="2803" width="20" style="62" customWidth="1"/>
    <col min="2804" max="3058" width="11.42578125" style="62"/>
    <col min="3059" max="3059" width="20" style="62" customWidth="1"/>
    <col min="3060" max="3314" width="11.42578125" style="62"/>
    <col min="3315" max="3315" width="20" style="62" customWidth="1"/>
    <col min="3316" max="3570" width="11.42578125" style="62"/>
    <col min="3571" max="3571" width="20" style="62" customWidth="1"/>
    <col min="3572" max="3826" width="11.42578125" style="62"/>
    <col min="3827" max="3827" width="20" style="62" customWidth="1"/>
    <col min="3828" max="4082" width="11.42578125" style="62"/>
    <col min="4083" max="4083" width="20" style="62" customWidth="1"/>
    <col min="4084" max="4338" width="11.42578125" style="62"/>
    <col min="4339" max="4339" width="20" style="62" customWidth="1"/>
    <col min="4340" max="4594" width="11.42578125" style="62"/>
    <col min="4595" max="4595" width="20" style="62" customWidth="1"/>
    <col min="4596" max="4850" width="11.42578125" style="62"/>
    <col min="4851" max="4851" width="20" style="62" customWidth="1"/>
    <col min="4852" max="5106" width="11.42578125" style="62"/>
    <col min="5107" max="5107" width="20" style="62" customWidth="1"/>
    <col min="5108" max="5362" width="11.42578125" style="62"/>
    <col min="5363" max="5363" width="20" style="62" customWidth="1"/>
    <col min="5364" max="5618" width="11.42578125" style="62"/>
    <col min="5619" max="5619" width="20" style="62" customWidth="1"/>
    <col min="5620" max="5874" width="11.42578125" style="62"/>
    <col min="5875" max="5875" width="20" style="62" customWidth="1"/>
    <col min="5876" max="6130" width="11.42578125" style="62"/>
    <col min="6131" max="6131" width="20" style="62" customWidth="1"/>
    <col min="6132" max="6386" width="11.42578125" style="62"/>
    <col min="6387" max="6387" width="20" style="62" customWidth="1"/>
    <col min="6388" max="6642" width="11.42578125" style="62"/>
    <col min="6643" max="6643" width="20" style="62" customWidth="1"/>
    <col min="6644" max="6898" width="11.42578125" style="62"/>
    <col min="6899" max="6899" width="20" style="62" customWidth="1"/>
    <col min="6900" max="7154" width="11.42578125" style="62"/>
    <col min="7155" max="7155" width="20" style="62" customWidth="1"/>
    <col min="7156" max="7410" width="11.42578125" style="62"/>
    <col min="7411" max="7411" width="20" style="62" customWidth="1"/>
    <col min="7412" max="7666" width="11.42578125" style="62"/>
    <col min="7667" max="7667" width="20" style="62" customWidth="1"/>
    <col min="7668" max="7922" width="11.42578125" style="62"/>
    <col min="7923" max="7923" width="20" style="62" customWidth="1"/>
    <col min="7924" max="8178" width="11.42578125" style="62"/>
    <col min="8179" max="8179" width="20" style="62" customWidth="1"/>
    <col min="8180" max="8434" width="11.42578125" style="62"/>
    <col min="8435" max="8435" width="20" style="62" customWidth="1"/>
    <col min="8436" max="8690" width="11.42578125" style="62"/>
    <col min="8691" max="8691" width="20" style="62" customWidth="1"/>
    <col min="8692" max="8946" width="11.42578125" style="62"/>
    <col min="8947" max="8947" width="20" style="62" customWidth="1"/>
    <col min="8948" max="9202" width="11.42578125" style="62"/>
    <col min="9203" max="9203" width="20" style="62" customWidth="1"/>
    <col min="9204" max="9458" width="11.42578125" style="62"/>
    <col min="9459" max="9459" width="20" style="62" customWidth="1"/>
    <col min="9460" max="9714" width="11.42578125" style="62"/>
    <col min="9715" max="9715" width="20" style="62" customWidth="1"/>
    <col min="9716" max="9970" width="11.42578125" style="62"/>
    <col min="9971" max="9971" width="20" style="62" customWidth="1"/>
    <col min="9972" max="10226" width="11.42578125" style="62"/>
    <col min="10227" max="10227" width="20" style="62" customWidth="1"/>
    <col min="10228" max="10482" width="11.42578125" style="62"/>
    <col min="10483" max="10483" width="20" style="62" customWidth="1"/>
    <col min="10484" max="10738" width="11.42578125" style="62"/>
    <col min="10739" max="10739" width="20" style="62" customWidth="1"/>
    <col min="10740" max="10994" width="11.42578125" style="62"/>
    <col min="10995" max="10995" width="20" style="62" customWidth="1"/>
    <col min="10996" max="11250" width="11.42578125" style="62"/>
    <col min="11251" max="11251" width="20" style="62" customWidth="1"/>
    <col min="11252" max="11506" width="11.42578125" style="62"/>
    <col min="11507" max="11507" width="20" style="62" customWidth="1"/>
    <col min="11508" max="11762" width="11.42578125" style="62"/>
    <col min="11763" max="11763" width="20" style="62" customWidth="1"/>
    <col min="11764" max="12018" width="11.42578125" style="62"/>
    <col min="12019" max="12019" width="20" style="62" customWidth="1"/>
    <col min="12020" max="12274" width="11.42578125" style="62"/>
    <col min="12275" max="12275" width="20" style="62" customWidth="1"/>
    <col min="12276" max="12530" width="11.42578125" style="62"/>
    <col min="12531" max="12531" width="20" style="62" customWidth="1"/>
    <col min="12532" max="12786" width="11.42578125" style="62"/>
    <col min="12787" max="12787" width="20" style="62" customWidth="1"/>
    <col min="12788" max="13042" width="11.42578125" style="62"/>
    <col min="13043" max="13043" width="20" style="62" customWidth="1"/>
    <col min="13044" max="13298" width="11.42578125" style="62"/>
    <col min="13299" max="13299" width="20" style="62" customWidth="1"/>
    <col min="13300" max="13554" width="11.42578125" style="62"/>
    <col min="13555" max="13555" width="20" style="62" customWidth="1"/>
    <col min="13556" max="13810" width="11.42578125" style="62"/>
    <col min="13811" max="13811" width="20" style="62" customWidth="1"/>
    <col min="13812" max="14066" width="11.42578125" style="62"/>
    <col min="14067" max="14067" width="20" style="62" customWidth="1"/>
    <col min="14068" max="14322" width="11.42578125" style="62"/>
    <col min="14323" max="14323" width="20" style="62" customWidth="1"/>
    <col min="14324" max="14578" width="11.42578125" style="62"/>
    <col min="14579" max="14579" width="20" style="62" customWidth="1"/>
    <col min="14580" max="14834" width="11.42578125" style="62"/>
    <col min="14835" max="14835" width="20" style="62" customWidth="1"/>
    <col min="14836" max="15090" width="11.42578125" style="62"/>
    <col min="15091" max="15091" width="20" style="62" customWidth="1"/>
    <col min="15092" max="15346" width="11.42578125" style="62"/>
    <col min="15347" max="15347" width="20" style="62" customWidth="1"/>
    <col min="15348" max="15602" width="11.42578125" style="62"/>
    <col min="15603" max="15603" width="20" style="62" customWidth="1"/>
    <col min="15604" max="15858" width="11.42578125" style="62"/>
    <col min="15859" max="15859" width="20" style="62" customWidth="1"/>
    <col min="15860" max="16114" width="11.42578125" style="62"/>
    <col min="16115" max="16115" width="20" style="62" customWidth="1"/>
    <col min="16116" max="16384" width="11.42578125" style="62"/>
  </cols>
  <sheetData>
    <row r="1" spans="1:4" x14ac:dyDescent="0.2">
      <c r="A1" s="62" t="s">
        <v>42</v>
      </c>
      <c r="B1" s="62" t="s">
        <v>43</v>
      </c>
      <c r="C1" s="62" t="s">
        <v>44</v>
      </c>
      <c r="D1" s="62" t="s">
        <v>45</v>
      </c>
    </row>
    <row r="2" spans="1:4" ht="19.5" customHeight="1" x14ac:dyDescent="0.2">
      <c r="A2" s="139" t="s">
        <v>48</v>
      </c>
      <c r="B2" s="139" t="s">
        <v>49</v>
      </c>
      <c r="C2" s="139" t="s">
        <v>51</v>
      </c>
      <c r="D2" s="63"/>
    </row>
    <row r="3" spans="1:4" ht="19.5" customHeight="1" x14ac:dyDescent="0.2">
      <c r="A3" s="139" t="s">
        <v>48</v>
      </c>
      <c r="B3" s="139" t="s">
        <v>49</v>
      </c>
      <c r="C3" s="139" t="s">
        <v>52</v>
      </c>
      <c r="D3" s="63"/>
    </row>
    <row r="4" spans="1:4" ht="19.5" customHeight="1" x14ac:dyDescent="0.2">
      <c r="A4" s="139" t="s">
        <v>48</v>
      </c>
      <c r="B4" s="139" t="s">
        <v>49</v>
      </c>
      <c r="C4" s="139" t="s">
        <v>53</v>
      </c>
      <c r="D4" s="63"/>
    </row>
    <row r="5" spans="1:4" ht="19.5" customHeight="1" x14ac:dyDescent="0.2">
      <c r="A5" s="139" t="s">
        <v>48</v>
      </c>
      <c r="B5" s="139" t="s">
        <v>49</v>
      </c>
      <c r="C5" s="139" t="s">
        <v>54</v>
      </c>
      <c r="D5" s="63"/>
    </row>
    <row r="6" spans="1:4" ht="19.5" customHeight="1" x14ac:dyDescent="0.2">
      <c r="A6" s="139" t="s">
        <v>48</v>
      </c>
      <c r="B6" s="139" t="s">
        <v>49</v>
      </c>
      <c r="C6" s="139" t="s">
        <v>55</v>
      </c>
      <c r="D6" s="63"/>
    </row>
    <row r="7" spans="1:4" ht="19.5" customHeight="1" x14ac:dyDescent="0.2">
      <c r="A7" s="139" t="s">
        <v>48</v>
      </c>
      <c r="B7" s="139" t="s">
        <v>49</v>
      </c>
      <c r="C7" s="139" t="s">
        <v>56</v>
      </c>
      <c r="D7" s="63"/>
    </row>
    <row r="8" spans="1:4" ht="19.5" customHeight="1" x14ac:dyDescent="0.2">
      <c r="A8" s="139" t="s">
        <v>48</v>
      </c>
      <c r="B8" s="139" t="s">
        <v>49</v>
      </c>
      <c r="C8" s="139" t="s">
        <v>57</v>
      </c>
      <c r="D8" s="63"/>
    </row>
    <row r="9" spans="1:4" ht="19.5" customHeight="1" x14ac:dyDescent="0.2">
      <c r="A9" s="139" t="s">
        <v>48</v>
      </c>
      <c r="B9" s="139" t="s">
        <v>49</v>
      </c>
      <c r="C9" s="139" t="s">
        <v>58</v>
      </c>
      <c r="D9" s="63"/>
    </row>
    <row r="10" spans="1:4" ht="19.5" customHeight="1" x14ac:dyDescent="0.2">
      <c r="A10" s="139" t="s">
        <v>48</v>
      </c>
      <c r="B10" s="139" t="s">
        <v>49</v>
      </c>
      <c r="C10" s="139" t="s">
        <v>59</v>
      </c>
      <c r="D10" s="63"/>
    </row>
    <row r="11" spans="1:4" ht="19.5" customHeight="1" x14ac:dyDescent="0.2">
      <c r="A11" s="139" t="s">
        <v>48</v>
      </c>
      <c r="B11" s="139" t="s">
        <v>49</v>
      </c>
      <c r="C11" s="139" t="s">
        <v>60</v>
      </c>
      <c r="D11" s="63"/>
    </row>
    <row r="12" spans="1:4" ht="19.5" customHeight="1" x14ac:dyDescent="0.2">
      <c r="A12" s="139" t="s">
        <v>48</v>
      </c>
      <c r="B12" s="139" t="s">
        <v>49</v>
      </c>
      <c r="C12" s="139" t="s">
        <v>61</v>
      </c>
      <c r="D12" s="63"/>
    </row>
    <row r="13" spans="1:4" ht="19.5" customHeight="1" x14ac:dyDescent="0.2">
      <c r="A13" s="139" t="s">
        <v>48</v>
      </c>
      <c r="B13" s="139" t="s">
        <v>49</v>
      </c>
      <c r="C13" s="139" t="s">
        <v>62</v>
      </c>
      <c r="D13" s="63"/>
    </row>
    <row r="14" spans="1:4" ht="19.5" customHeight="1" x14ac:dyDescent="0.2">
      <c r="A14" s="139" t="s">
        <v>48</v>
      </c>
      <c r="B14" s="139" t="s">
        <v>49</v>
      </c>
      <c r="C14" s="139" t="s">
        <v>63</v>
      </c>
      <c r="D14" s="63"/>
    </row>
    <row r="15" spans="1:4" ht="19.5" customHeight="1" x14ac:dyDescent="0.2">
      <c r="A15" s="139" t="s">
        <v>48</v>
      </c>
      <c r="B15" s="139" t="s">
        <v>49</v>
      </c>
      <c r="C15" s="139" t="s">
        <v>64</v>
      </c>
      <c r="D15" s="63"/>
    </row>
    <row r="16" spans="1:4" ht="19.5" customHeight="1" x14ac:dyDescent="0.2">
      <c r="A16" s="139" t="s">
        <v>48</v>
      </c>
      <c r="B16" s="139" t="s">
        <v>49</v>
      </c>
      <c r="C16" s="139" t="s">
        <v>65</v>
      </c>
      <c r="D16" s="63"/>
    </row>
    <row r="17" spans="1:4" ht="19.5" customHeight="1" x14ac:dyDescent="0.2">
      <c r="A17" s="139" t="s">
        <v>48</v>
      </c>
      <c r="B17" s="139" t="s">
        <v>49</v>
      </c>
      <c r="C17" s="139" t="s">
        <v>66</v>
      </c>
      <c r="D17" s="63"/>
    </row>
    <row r="18" spans="1:4" ht="19.5" customHeight="1" x14ac:dyDescent="0.2">
      <c r="A18" s="139" t="s">
        <v>48</v>
      </c>
      <c r="B18" s="139" t="s">
        <v>49</v>
      </c>
      <c r="C18" s="139" t="s">
        <v>67</v>
      </c>
      <c r="D18" s="63"/>
    </row>
    <row r="19" spans="1:4" ht="19.5" customHeight="1" x14ac:dyDescent="0.2">
      <c r="A19" s="139" t="s">
        <v>48</v>
      </c>
      <c r="B19" s="139" t="s">
        <v>49</v>
      </c>
      <c r="C19" s="139" t="s">
        <v>68</v>
      </c>
      <c r="D19" s="63"/>
    </row>
    <row r="20" spans="1:4" ht="19.5" customHeight="1" x14ac:dyDescent="0.2">
      <c r="A20" s="139" t="s">
        <v>48</v>
      </c>
      <c r="B20" s="139" t="s">
        <v>49</v>
      </c>
      <c r="C20" s="139" t="s">
        <v>69</v>
      </c>
      <c r="D20" s="63"/>
    </row>
    <row r="21" spans="1:4" ht="19.5" customHeight="1" x14ac:dyDescent="0.2">
      <c r="A21" s="139" t="s">
        <v>48</v>
      </c>
      <c r="B21" s="139" t="s">
        <v>49</v>
      </c>
      <c r="C21" s="139" t="s">
        <v>70</v>
      </c>
      <c r="D21" s="63"/>
    </row>
    <row r="22" spans="1:4" ht="19.5" customHeight="1" x14ac:dyDescent="0.2">
      <c r="A22" s="139" t="s">
        <v>48</v>
      </c>
      <c r="B22" s="139" t="s">
        <v>49</v>
      </c>
      <c r="C22" s="139" t="s">
        <v>71</v>
      </c>
      <c r="D22" s="63"/>
    </row>
    <row r="23" spans="1:4" ht="19.5" customHeight="1" x14ac:dyDescent="0.2">
      <c r="A23" s="139" t="s">
        <v>48</v>
      </c>
      <c r="B23" s="139" t="s">
        <v>49</v>
      </c>
      <c r="C23" s="139" t="s">
        <v>72</v>
      </c>
      <c r="D23" s="63"/>
    </row>
    <row r="24" spans="1:4" ht="19.5" customHeight="1" x14ac:dyDescent="0.2">
      <c r="A24" s="139" t="s">
        <v>48</v>
      </c>
      <c r="B24" s="139" t="s">
        <v>49</v>
      </c>
      <c r="C24" s="139" t="s">
        <v>73</v>
      </c>
      <c r="D24" s="63"/>
    </row>
    <row r="25" spans="1:4" ht="19.5" customHeight="1" x14ac:dyDescent="0.2">
      <c r="A25" s="139" t="s">
        <v>48</v>
      </c>
      <c r="B25" s="139" t="s">
        <v>49</v>
      </c>
      <c r="C25" s="139" t="s">
        <v>74</v>
      </c>
      <c r="D25" s="63"/>
    </row>
    <row r="26" spans="1:4" ht="19.5" customHeight="1" x14ac:dyDescent="0.2">
      <c r="A26" s="139" t="s">
        <v>48</v>
      </c>
      <c r="B26" s="139" t="s">
        <v>49</v>
      </c>
      <c r="C26" s="139" t="s">
        <v>75</v>
      </c>
      <c r="D26" s="63"/>
    </row>
    <row r="27" spans="1:4" ht="19.5" customHeight="1" x14ac:dyDescent="0.2">
      <c r="A27" s="138"/>
      <c r="B27" s="138"/>
      <c r="C27" s="138"/>
      <c r="D27" s="63"/>
    </row>
    <row r="28" spans="1:4" ht="19.5" customHeight="1" x14ac:dyDescent="0.2">
      <c r="A28" s="138"/>
      <c r="B28" s="138"/>
      <c r="C28" s="138"/>
      <c r="D28" s="63"/>
    </row>
    <row r="29" spans="1:4" ht="19.5" customHeight="1" x14ac:dyDescent="0.2">
      <c r="A29" s="138"/>
      <c r="B29" s="138"/>
      <c r="C29" s="138"/>
      <c r="D29" s="63"/>
    </row>
    <row r="30" spans="1:4" ht="19.5" customHeight="1" x14ac:dyDescent="0.2">
      <c r="A30" s="138"/>
      <c r="B30" s="138"/>
      <c r="C30" s="138"/>
      <c r="D30" s="63"/>
    </row>
    <row r="31" spans="1:4" ht="19.5" customHeight="1" x14ac:dyDescent="0.2">
      <c r="A31" s="138"/>
      <c r="B31" s="138"/>
      <c r="C31" s="138"/>
      <c r="D31" s="63"/>
    </row>
    <row r="32" spans="1:4" ht="19.5" customHeight="1" x14ac:dyDescent="0.2">
      <c r="A32" s="138"/>
      <c r="B32" s="138"/>
      <c r="C32" s="138"/>
      <c r="D32" s="63"/>
    </row>
    <row r="33" spans="1:4" ht="19.5" customHeight="1" x14ac:dyDescent="0.2">
      <c r="A33" s="138"/>
      <c r="B33" s="138"/>
      <c r="C33" s="138"/>
      <c r="D33" s="63"/>
    </row>
    <row r="34" spans="1:4" ht="19.5" customHeight="1" x14ac:dyDescent="0.2">
      <c r="A34" s="138"/>
      <c r="B34" s="138"/>
      <c r="C34" s="138"/>
      <c r="D34" s="63"/>
    </row>
    <row r="35" spans="1:4" ht="19.5" customHeight="1" x14ac:dyDescent="0.2">
      <c r="A35" s="138"/>
      <c r="B35" s="138"/>
      <c r="C35" s="138"/>
      <c r="D35" s="63"/>
    </row>
    <row r="36" spans="1:4" ht="19.5" customHeight="1" x14ac:dyDescent="0.2">
      <c r="A36" s="139"/>
      <c r="B36" s="139"/>
      <c r="C36" s="139"/>
      <c r="D36" s="63"/>
    </row>
    <row r="37" spans="1:4" ht="19.5" customHeight="1" x14ac:dyDescent="0.2">
      <c r="A37" s="139"/>
      <c r="B37" s="139"/>
      <c r="C37" s="139"/>
      <c r="D37" s="63"/>
    </row>
    <row r="38" spans="1:4" ht="19.5" customHeight="1" x14ac:dyDescent="0.2">
      <c r="A38" s="139"/>
      <c r="B38" s="139"/>
      <c r="C38" s="139"/>
      <c r="D38" s="63"/>
    </row>
    <row r="39" spans="1:4" ht="19.5" customHeight="1" x14ac:dyDescent="0.2">
      <c r="A39" s="139"/>
      <c r="B39" s="139"/>
      <c r="C39" s="139"/>
      <c r="D39" s="63"/>
    </row>
    <row r="40" spans="1:4" ht="19.5" customHeight="1" x14ac:dyDescent="0.2">
      <c r="A40" s="139"/>
      <c r="B40" s="139"/>
      <c r="C40" s="139"/>
      <c r="D40" s="63"/>
    </row>
    <row r="41" spans="1:4" ht="19.5" customHeight="1" x14ac:dyDescent="0.2">
      <c r="A41" s="139"/>
      <c r="B41" s="139"/>
      <c r="C41" s="139"/>
      <c r="D41" s="63"/>
    </row>
    <row r="42" spans="1:4" ht="19.5" customHeight="1" x14ac:dyDescent="0.2">
      <c r="A42" s="139"/>
      <c r="B42" s="139"/>
      <c r="C42" s="139"/>
      <c r="D42" s="63"/>
    </row>
    <row r="43" spans="1:4" ht="19.5" customHeight="1" x14ac:dyDescent="0.2">
      <c r="A43" s="139"/>
      <c r="B43" s="139"/>
      <c r="C43" s="139"/>
      <c r="D43" s="63"/>
    </row>
    <row r="44" spans="1:4" ht="19.5" customHeight="1" x14ac:dyDescent="0.2">
      <c r="A44" s="139"/>
      <c r="B44" s="139"/>
      <c r="C44" s="139"/>
      <c r="D44" s="63"/>
    </row>
    <row r="45" spans="1:4" ht="19.5" customHeight="1" x14ac:dyDescent="0.2">
      <c r="A45" s="139"/>
      <c r="B45" s="139"/>
      <c r="C45" s="139"/>
      <c r="D45" s="63"/>
    </row>
    <row r="46" spans="1:4" ht="19.5" customHeight="1" x14ac:dyDescent="0.2">
      <c r="A46" s="139"/>
      <c r="B46" s="139"/>
      <c r="C46" s="139"/>
      <c r="D46" s="63"/>
    </row>
    <row r="47" spans="1:4" ht="19.5" customHeight="1" x14ac:dyDescent="0.2">
      <c r="A47" s="139"/>
      <c r="B47" s="139"/>
      <c r="C47" s="139"/>
      <c r="D47" s="63"/>
    </row>
    <row r="48" spans="1:4" ht="19.5" customHeight="1" x14ac:dyDescent="0.2">
      <c r="A48" s="139"/>
      <c r="B48" s="139"/>
      <c r="C48" s="139"/>
      <c r="D48" s="63"/>
    </row>
    <row r="49" spans="1:4" ht="19.5" customHeight="1" x14ac:dyDescent="0.2">
      <c r="A49" s="139"/>
      <c r="B49" s="139"/>
      <c r="C49" s="139"/>
      <c r="D49" s="63"/>
    </row>
    <row r="50" spans="1:4" ht="19.5" customHeight="1" x14ac:dyDescent="0.2">
      <c r="A50" s="139"/>
      <c r="B50" s="139"/>
      <c r="C50" s="139"/>
      <c r="D50" s="63"/>
    </row>
    <row r="51" spans="1:4" ht="22.5" customHeight="1" x14ac:dyDescent="0.2">
      <c r="A51" s="139"/>
      <c r="B51" s="139"/>
      <c r="C51" s="139"/>
      <c r="D51" s="63"/>
    </row>
    <row r="52" spans="1:4" ht="22.5" customHeight="1" x14ac:dyDescent="0.2">
      <c r="A52" s="139"/>
      <c r="B52" s="139"/>
      <c r="C52" s="139"/>
      <c r="D52" s="63"/>
    </row>
    <row r="53" spans="1:4" ht="22.5" customHeight="1" x14ac:dyDescent="0.2">
      <c r="A53" s="139"/>
      <c r="B53" s="139"/>
      <c r="C53" s="139"/>
      <c r="D53" s="63"/>
    </row>
    <row r="54" spans="1:4" ht="22.5" customHeight="1" x14ac:dyDescent="0.2">
      <c r="A54" s="139"/>
      <c r="B54" s="139"/>
      <c r="C54" s="139"/>
      <c r="D54" s="63"/>
    </row>
    <row r="55" spans="1:4" ht="22.5" customHeight="1" x14ac:dyDescent="0.2">
      <c r="A55" s="139"/>
      <c r="B55" s="139"/>
      <c r="C55" s="139"/>
      <c r="D55" s="135"/>
    </row>
    <row r="56" spans="1:4" ht="22.5" customHeight="1" x14ac:dyDescent="0.2">
      <c r="A56" s="139"/>
      <c r="B56" s="139"/>
      <c r="C56" s="139"/>
      <c r="D56" s="135"/>
    </row>
    <row r="57" spans="1:4" ht="22.5" customHeight="1" x14ac:dyDescent="0.2">
      <c r="A57" s="137"/>
      <c r="B57" s="137"/>
      <c r="C57" s="137"/>
      <c r="D57" s="63"/>
    </row>
    <row r="58" spans="1:4" ht="22.5" customHeight="1" x14ac:dyDescent="0.2">
      <c r="A58" s="137"/>
      <c r="B58" s="137"/>
      <c r="C58" s="137"/>
      <c r="D58" s="63"/>
    </row>
    <row r="59" spans="1:4" ht="22.5" customHeight="1" x14ac:dyDescent="0.2">
      <c r="A59" s="137"/>
      <c r="B59" s="137"/>
      <c r="C59" s="137"/>
      <c r="D59" s="63"/>
    </row>
    <row r="60" spans="1:4" ht="22.5" customHeight="1" x14ac:dyDescent="0.2">
      <c r="A60" s="137"/>
      <c r="B60" s="137"/>
      <c r="C60" s="137"/>
      <c r="D60" s="63"/>
    </row>
    <row r="61" spans="1:4" ht="22.5" customHeight="1" x14ac:dyDescent="0.2">
      <c r="A61" s="137"/>
      <c r="B61" s="137"/>
      <c r="C61" s="137"/>
      <c r="D61" s="63"/>
    </row>
    <row r="62" spans="1:4" ht="22.5" customHeight="1" x14ac:dyDescent="0.2">
      <c r="A62" s="64"/>
      <c r="B62" s="64"/>
      <c r="C62" s="64"/>
      <c r="D62" s="63"/>
    </row>
    <row r="63" spans="1:4" ht="15" customHeight="1" x14ac:dyDescent="0.2">
      <c r="A63" s="64"/>
      <c r="B63" s="64"/>
      <c r="C63" s="64"/>
      <c r="D63" s="63"/>
    </row>
    <row r="64" spans="1:4" ht="15" customHeight="1" x14ac:dyDescent="0.2">
      <c r="A64" s="64"/>
      <c r="B64" s="64"/>
      <c r="C64" s="64"/>
      <c r="D64" s="63"/>
    </row>
    <row r="65" spans="1:4" ht="15" customHeight="1" x14ac:dyDescent="0.2">
      <c r="A65" s="64"/>
      <c r="B65" s="64"/>
      <c r="C65" s="64"/>
      <c r="D65" s="63"/>
    </row>
    <row r="66" spans="1:4" x14ac:dyDescent="0.2">
      <c r="A66" s="63"/>
      <c r="B66" s="63"/>
      <c r="C66" s="63"/>
      <c r="D66" s="63"/>
    </row>
    <row r="67" spans="1:4" x14ac:dyDescent="0.2">
      <c r="D67" s="62"/>
    </row>
    <row r="68" spans="1:4" x14ac:dyDescent="0.2">
      <c r="D68" s="62"/>
    </row>
    <row r="69" spans="1:4" x14ac:dyDescent="0.2">
      <c r="D69" s="62"/>
    </row>
    <row r="70" spans="1:4" x14ac:dyDescent="0.2">
      <c r="D70" s="62"/>
    </row>
    <row r="71" spans="1:4" x14ac:dyDescent="0.2">
      <c r="D71" s="62"/>
    </row>
    <row r="72" spans="1:4" x14ac:dyDescent="0.2">
      <c r="D72" s="62"/>
    </row>
    <row r="73" spans="1:4" x14ac:dyDescent="0.2">
      <c r="D73" s="62"/>
    </row>
    <row r="74" spans="1:4" x14ac:dyDescent="0.2">
      <c r="D74" s="62"/>
    </row>
    <row r="75" spans="1:4" x14ac:dyDescent="0.2">
      <c r="D75" s="62"/>
    </row>
  </sheetData>
  <pageMargins left="0.74803149606299213" right="0.74803149606299213" top="0.98425196850393704" bottom="0.98425196850393704" header="0.51181102362204722" footer="0.51181102362204722"/>
  <pageSetup scale="50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5"/>
  <sheetViews>
    <sheetView tabSelected="1" topLeftCell="A6" workbookViewId="0">
      <selection activeCell="E18" sqref="E18"/>
    </sheetView>
  </sheetViews>
  <sheetFormatPr baseColWidth="10" defaultColWidth="8" defaultRowHeight="12" x14ac:dyDescent="0.2"/>
  <cols>
    <col min="1" max="1" width="5.42578125" style="66" customWidth="1"/>
    <col min="2" max="2" width="14.5703125" style="66" customWidth="1"/>
    <col min="3" max="3" width="11" style="66" customWidth="1"/>
    <col min="4" max="4" width="10.5703125" style="66" customWidth="1"/>
    <col min="5" max="5" width="9.42578125" style="67" customWidth="1"/>
    <col min="6" max="6" width="8.5703125" style="67" customWidth="1"/>
    <col min="7" max="7" width="11.28515625" style="66" customWidth="1"/>
    <col min="8" max="8" width="10.5703125" style="66" customWidth="1"/>
    <col min="9" max="9" width="10.140625" style="66" customWidth="1"/>
    <col min="10" max="10" width="11.140625" style="66" customWidth="1"/>
    <col min="11" max="11" width="10.5703125" style="66" customWidth="1"/>
    <col min="12" max="12" width="8.85546875" style="66" customWidth="1"/>
    <col min="13" max="13" width="10.5703125" style="68" customWidth="1"/>
    <col min="14" max="15" width="10.140625" style="66" customWidth="1"/>
    <col min="16" max="16" width="11.42578125" style="66" customWidth="1"/>
    <col min="17" max="17" width="12.5703125" style="69" customWidth="1"/>
    <col min="18" max="18" width="8.5703125" style="66" customWidth="1"/>
    <col min="19" max="19" width="10" style="66" customWidth="1"/>
    <col min="20" max="20" width="11.28515625" style="66" customWidth="1"/>
    <col min="21" max="21" width="10" style="66" customWidth="1"/>
    <col min="22" max="254" width="11.42578125" style="66" customWidth="1"/>
    <col min="255" max="16384" width="8" style="66"/>
  </cols>
  <sheetData>
    <row r="1" spans="1:22" x14ac:dyDescent="0.2">
      <c r="A1" s="66" t="s">
        <v>47</v>
      </c>
    </row>
    <row r="2" spans="1:22" x14ac:dyDescent="0.2">
      <c r="A2" s="66" t="s">
        <v>50</v>
      </c>
      <c r="R2" s="142" t="s">
        <v>3</v>
      </c>
      <c r="S2" s="70"/>
      <c r="T2" s="71" t="s">
        <v>4</v>
      </c>
      <c r="U2" s="72" t="s">
        <v>5</v>
      </c>
    </row>
    <row r="3" spans="1:22" x14ac:dyDescent="0.2">
      <c r="A3" s="66" t="s">
        <v>6</v>
      </c>
      <c r="R3" s="143"/>
      <c r="S3" s="73"/>
      <c r="T3" s="74">
        <v>0.5</v>
      </c>
      <c r="U3" s="75">
        <v>0.83333333333333337</v>
      </c>
    </row>
    <row r="5" spans="1:22" ht="15.75" customHeight="1" thickBot="1" x14ac:dyDescent="0.25"/>
    <row r="6" spans="1:22" ht="12.75" customHeight="1" thickBot="1" x14ac:dyDescent="0.25">
      <c r="A6" s="144" t="s">
        <v>7</v>
      </c>
      <c r="B6" s="144" t="s">
        <v>8</v>
      </c>
      <c r="C6" s="144" t="s">
        <v>0</v>
      </c>
      <c r="D6" s="144" t="s">
        <v>1</v>
      </c>
      <c r="E6" s="145" t="s">
        <v>9</v>
      </c>
      <c r="F6" s="146" t="s">
        <v>10</v>
      </c>
      <c r="G6" s="147" t="s">
        <v>11</v>
      </c>
      <c r="H6" s="148"/>
      <c r="I6" s="148"/>
      <c r="J6" s="148"/>
      <c r="K6" s="148"/>
      <c r="L6" s="149"/>
      <c r="M6" s="150" t="s">
        <v>12</v>
      </c>
      <c r="N6" s="150"/>
      <c r="O6" s="150"/>
      <c r="P6" s="150"/>
      <c r="Q6" s="150"/>
      <c r="R6" s="150"/>
      <c r="S6" s="150"/>
      <c r="T6" s="150"/>
      <c r="U6" s="151"/>
    </row>
    <row r="7" spans="1:22" ht="36" x14ac:dyDescent="0.2">
      <c r="A7" s="144"/>
      <c r="B7" s="144"/>
      <c r="C7" s="144"/>
      <c r="D7" s="144"/>
      <c r="E7" s="145"/>
      <c r="F7" s="146"/>
      <c r="G7" s="76" t="s">
        <v>0</v>
      </c>
      <c r="H7" s="77" t="s">
        <v>1</v>
      </c>
      <c r="I7" s="77" t="s">
        <v>13</v>
      </c>
      <c r="J7" s="77" t="s">
        <v>14</v>
      </c>
      <c r="K7" s="78" t="s">
        <v>15</v>
      </c>
      <c r="L7" s="79" t="s">
        <v>13</v>
      </c>
      <c r="M7" s="80" t="s">
        <v>16</v>
      </c>
      <c r="N7" s="81" t="s">
        <v>17</v>
      </c>
      <c r="O7" s="81" t="s">
        <v>18</v>
      </c>
      <c r="P7" s="81" t="s">
        <v>19</v>
      </c>
      <c r="Q7" s="82" t="s">
        <v>20</v>
      </c>
      <c r="R7" s="81" t="s">
        <v>21</v>
      </c>
      <c r="S7" s="81" t="s">
        <v>46</v>
      </c>
      <c r="T7" s="81" t="s">
        <v>22</v>
      </c>
      <c r="U7" s="81" t="s">
        <v>23</v>
      </c>
      <c r="V7" s="68"/>
    </row>
    <row r="8" spans="1:22" ht="15" customHeight="1" x14ac:dyDescent="0.25">
      <c r="A8" s="83">
        <v>5</v>
      </c>
      <c r="B8" s="84">
        <v>46174</v>
      </c>
      <c r="C8" s="85">
        <v>0.27083333333333331</v>
      </c>
      <c r="D8" s="85">
        <v>0.85416666666666663</v>
      </c>
      <c r="E8" s="86">
        <v>0.26527777777777778</v>
      </c>
      <c r="F8" s="106">
        <v>0.85902777777777772</v>
      </c>
      <c r="G8" s="87">
        <f t="shared" ref="G8:G13" si="0">IF(C8-E8&gt;0,+C8-E8,0)</f>
        <v>5.5555555555555358E-3</v>
      </c>
      <c r="H8" s="88">
        <f t="shared" ref="H8:H12" si="1">IF(F8-D8&gt;0,+F8-D8,0)</f>
        <v>4.8611111111110938E-3</v>
      </c>
      <c r="I8" s="88">
        <f t="shared" ref="I8:I12" si="2">SUM(G8:H8)</f>
        <v>1.041666666666663E-2</v>
      </c>
      <c r="J8" s="88">
        <f t="shared" ref="J8:J13" si="3">IF(C8-E8&lt;0,+(+C8-E8)*-1,0)</f>
        <v>0</v>
      </c>
      <c r="K8" s="88">
        <f t="shared" ref="K8:K12" si="4">IF(F8-D8&lt;0,+(+F8-D8)*-1,0)</f>
        <v>0</v>
      </c>
      <c r="L8" s="89">
        <f t="shared" ref="L8:L12" si="5">+J8+K8</f>
        <v>0</v>
      </c>
      <c r="M8" s="90">
        <f t="shared" ref="M8:M13" si="6">+E8</f>
        <v>0.26527777777777778</v>
      </c>
      <c r="N8" s="91">
        <v>0.33333333333333331</v>
      </c>
      <c r="O8" s="91">
        <v>0.79166666666666663</v>
      </c>
      <c r="P8" s="92">
        <f t="shared" ref="P8:P29" si="7">+F8-O8</f>
        <v>6.7361111111111094E-2</v>
      </c>
      <c r="Q8" s="93">
        <f t="shared" ref="Q8:Q12" si="8">+F8-E8</f>
        <v>0.59375</v>
      </c>
      <c r="R8" s="92">
        <v>0.33333333333333331</v>
      </c>
      <c r="S8" s="94"/>
      <c r="T8" s="92">
        <f t="shared" ref="T8:T12" si="9">IF(Q8-R8-S8&gt;0,(Q8-R8-S8),0)</f>
        <v>0.26041666666666669</v>
      </c>
      <c r="U8" s="92"/>
      <c r="V8" s="95"/>
    </row>
    <row r="9" spans="1:22" ht="15" customHeight="1" x14ac:dyDescent="0.25">
      <c r="A9" s="83">
        <v>5</v>
      </c>
      <c r="B9" s="84">
        <v>46175</v>
      </c>
      <c r="C9" s="85">
        <v>0.27083333333333331</v>
      </c>
      <c r="D9" s="85">
        <v>0.85416666666666663</v>
      </c>
      <c r="E9" s="86">
        <v>0.2673611111111111</v>
      </c>
      <c r="F9" s="106">
        <v>0.6</v>
      </c>
      <c r="G9" s="87">
        <f t="shared" si="0"/>
        <v>3.4722222222222099E-3</v>
      </c>
      <c r="H9" s="88">
        <f t="shared" si="1"/>
        <v>0</v>
      </c>
      <c r="I9" s="88">
        <f t="shared" si="2"/>
        <v>3.4722222222222099E-3</v>
      </c>
      <c r="J9" s="88">
        <f t="shared" si="3"/>
        <v>0</v>
      </c>
      <c r="K9" s="88">
        <f t="shared" si="4"/>
        <v>0.25416666666666665</v>
      </c>
      <c r="L9" s="89">
        <f t="shared" si="5"/>
        <v>0.25416666666666665</v>
      </c>
      <c r="M9" s="90">
        <f t="shared" si="6"/>
        <v>0.2673611111111111</v>
      </c>
      <c r="N9" s="91">
        <v>0.33333333333333331</v>
      </c>
      <c r="O9" s="91">
        <v>0.79166666666666663</v>
      </c>
      <c r="P9" s="92"/>
      <c r="Q9" s="93">
        <f t="shared" si="8"/>
        <v>0.33263888888888887</v>
      </c>
      <c r="R9" s="92">
        <v>0.33333333333333331</v>
      </c>
      <c r="S9" s="94">
        <v>1.0416666666666666E-2</v>
      </c>
      <c r="T9" s="92">
        <f t="shared" si="9"/>
        <v>0</v>
      </c>
      <c r="U9" s="92"/>
      <c r="V9" s="95"/>
    </row>
    <row r="10" spans="1:22" ht="15" customHeight="1" x14ac:dyDescent="0.25">
      <c r="A10" s="83">
        <v>5</v>
      </c>
      <c r="B10" s="84">
        <v>46176</v>
      </c>
      <c r="C10" s="85">
        <v>0.27083333333333331</v>
      </c>
      <c r="D10" s="85">
        <v>0.85416666666666663</v>
      </c>
      <c r="E10" s="86">
        <v>0.2638888888888889</v>
      </c>
      <c r="F10" s="86">
        <v>0.85763888888888884</v>
      </c>
      <c r="G10" s="87">
        <f t="shared" si="0"/>
        <v>6.9444444444444198E-3</v>
      </c>
      <c r="H10" s="88">
        <f t="shared" si="1"/>
        <v>3.4722222222222099E-3</v>
      </c>
      <c r="I10" s="88">
        <f t="shared" si="2"/>
        <v>1.041666666666663E-2</v>
      </c>
      <c r="J10" s="88">
        <f t="shared" si="3"/>
        <v>0</v>
      </c>
      <c r="K10" s="88">
        <f t="shared" si="4"/>
        <v>0</v>
      </c>
      <c r="L10" s="89">
        <f t="shared" si="5"/>
        <v>0</v>
      </c>
      <c r="M10" s="90">
        <f t="shared" si="6"/>
        <v>0.2638888888888889</v>
      </c>
      <c r="N10" s="91">
        <v>0.33333333333333331</v>
      </c>
      <c r="O10" s="91">
        <v>0.79166666666666663</v>
      </c>
      <c r="P10" s="92">
        <f t="shared" si="7"/>
        <v>6.597222222222221E-2</v>
      </c>
      <c r="Q10" s="93">
        <f t="shared" si="8"/>
        <v>0.59375</v>
      </c>
      <c r="R10" s="92">
        <v>0.33333333333333331</v>
      </c>
      <c r="S10" s="94"/>
      <c r="T10" s="92">
        <f t="shared" si="9"/>
        <v>0.26041666666666669</v>
      </c>
      <c r="U10" s="92"/>
      <c r="V10" s="95"/>
    </row>
    <row r="11" spans="1:22" ht="15" customHeight="1" x14ac:dyDescent="0.25">
      <c r="A11" s="83">
        <v>5</v>
      </c>
      <c r="B11" s="84">
        <v>46177</v>
      </c>
      <c r="C11" s="85">
        <v>0.27083333333333331</v>
      </c>
      <c r="D11" s="85">
        <v>0.85416666666666663</v>
      </c>
      <c r="E11" s="107">
        <v>0.26666666666666666</v>
      </c>
      <c r="F11" s="86">
        <v>0.6</v>
      </c>
      <c r="G11" s="87">
        <f t="shared" si="0"/>
        <v>4.1666666666666519E-3</v>
      </c>
      <c r="H11" s="88">
        <f t="shared" si="1"/>
        <v>0</v>
      </c>
      <c r="I11" s="88">
        <f t="shared" si="2"/>
        <v>4.1666666666666519E-3</v>
      </c>
      <c r="J11" s="88">
        <f t="shared" si="3"/>
        <v>0</v>
      </c>
      <c r="K11" s="88">
        <f t="shared" si="4"/>
        <v>0.25416666666666665</v>
      </c>
      <c r="L11" s="89">
        <f t="shared" si="5"/>
        <v>0.25416666666666665</v>
      </c>
      <c r="M11" s="90">
        <f t="shared" si="6"/>
        <v>0.26666666666666666</v>
      </c>
      <c r="N11" s="91">
        <v>0.33333333333333331</v>
      </c>
      <c r="O11" s="91">
        <v>0.79166666666666663</v>
      </c>
      <c r="P11" s="92"/>
      <c r="Q11" s="93">
        <f t="shared" si="8"/>
        <v>0.33333333333333331</v>
      </c>
      <c r="R11" s="92">
        <v>0.33333333333333331</v>
      </c>
      <c r="S11" s="94">
        <v>1.0416666666666666E-2</v>
      </c>
      <c r="T11" s="92">
        <f t="shared" si="9"/>
        <v>0</v>
      </c>
      <c r="U11" s="92"/>
      <c r="V11" s="95"/>
    </row>
    <row r="12" spans="1:22" ht="15" customHeight="1" x14ac:dyDescent="0.25">
      <c r="A12" s="83">
        <v>5</v>
      </c>
      <c r="B12" s="84">
        <v>46178</v>
      </c>
      <c r="C12" s="85">
        <v>0.27083333333333331</v>
      </c>
      <c r="D12" s="85">
        <v>0.85416666666666663</v>
      </c>
      <c r="E12" s="86">
        <v>0.2673611111111111</v>
      </c>
      <c r="F12" s="106">
        <v>0.85833333333333328</v>
      </c>
      <c r="G12" s="87">
        <f t="shared" si="0"/>
        <v>3.4722222222222099E-3</v>
      </c>
      <c r="H12" s="88">
        <f t="shared" si="1"/>
        <v>4.1666666666666519E-3</v>
      </c>
      <c r="I12" s="88">
        <f t="shared" si="2"/>
        <v>7.6388888888888618E-3</v>
      </c>
      <c r="J12" s="88">
        <f t="shared" si="3"/>
        <v>0</v>
      </c>
      <c r="K12" s="88">
        <f t="shared" si="4"/>
        <v>0</v>
      </c>
      <c r="L12" s="89">
        <f t="shared" si="5"/>
        <v>0</v>
      </c>
      <c r="M12" s="90">
        <f t="shared" si="6"/>
        <v>0.2673611111111111</v>
      </c>
      <c r="N12" s="91">
        <v>0.33333333333333331</v>
      </c>
      <c r="O12" s="91">
        <v>0.79166666666666663</v>
      </c>
      <c r="P12" s="92">
        <f t="shared" si="7"/>
        <v>6.6666666666666652E-2</v>
      </c>
      <c r="Q12" s="93">
        <f t="shared" si="8"/>
        <v>0.59097222222222223</v>
      </c>
      <c r="R12" s="92">
        <v>0.33333333333333331</v>
      </c>
      <c r="S12" s="94"/>
      <c r="T12" s="92">
        <f t="shared" si="9"/>
        <v>0.25763888888888892</v>
      </c>
      <c r="U12" s="92"/>
      <c r="V12" s="95"/>
    </row>
    <row r="13" spans="1:22" ht="15" customHeight="1" x14ac:dyDescent="0.25">
      <c r="A13" s="96">
        <v>5</v>
      </c>
      <c r="B13" s="97">
        <v>46179</v>
      </c>
      <c r="C13" s="98">
        <v>0.27083333333333331</v>
      </c>
      <c r="D13" s="98">
        <v>0.85416666666666663</v>
      </c>
      <c r="E13" s="99">
        <v>0.26874999999999999</v>
      </c>
      <c r="F13" s="99"/>
      <c r="G13" s="100">
        <f t="shared" si="0"/>
        <v>2.0833333333333259E-3</v>
      </c>
      <c r="H13" s="101"/>
      <c r="I13" s="101"/>
      <c r="J13" s="101">
        <f t="shared" si="3"/>
        <v>0</v>
      </c>
      <c r="K13" s="101"/>
      <c r="L13" s="102"/>
      <c r="M13" s="103">
        <f t="shared" si="6"/>
        <v>0.26874999999999999</v>
      </c>
      <c r="N13" s="104"/>
      <c r="O13" s="104"/>
      <c r="P13" s="105"/>
      <c r="Q13" s="105"/>
      <c r="R13" s="105"/>
      <c r="S13" s="105"/>
      <c r="T13" s="105"/>
      <c r="U13" s="105"/>
      <c r="V13" s="95"/>
    </row>
    <row r="14" spans="1:22" ht="15" customHeight="1" x14ac:dyDescent="0.25">
      <c r="A14" s="83">
        <v>5</v>
      </c>
      <c r="B14" s="84">
        <v>46181</v>
      </c>
      <c r="C14" s="85">
        <v>0.27083333333333331</v>
      </c>
      <c r="D14" s="85">
        <v>0.85416666666666663</v>
      </c>
      <c r="E14" s="86"/>
      <c r="F14" s="106"/>
      <c r="G14" s="87">
        <f t="shared" ref="G14:G19" si="10">IF(C14-E14&gt;0,+C14-E14,0)</f>
        <v>0.27083333333333331</v>
      </c>
      <c r="H14" s="88">
        <f t="shared" ref="H14:H19" si="11">IF(F14-D14&gt;0,+F14-D14,0)</f>
        <v>0</v>
      </c>
      <c r="I14" s="88">
        <f t="shared" ref="I14:I19" si="12">SUM(G14:H14)</f>
        <v>0.27083333333333331</v>
      </c>
      <c r="J14" s="88">
        <f t="shared" ref="J14:J19" si="13">IF(C14-E14&lt;0,+(+C14-E14)*-1,0)</f>
        <v>0</v>
      </c>
      <c r="K14" s="88">
        <f t="shared" ref="K14:K19" si="14">IF(F14-D14&lt;0,+(+F14-D14)*-1,0)</f>
        <v>0.85416666666666663</v>
      </c>
      <c r="L14" s="89">
        <f t="shared" ref="L14:L19" si="15">+J14+K14</f>
        <v>0.85416666666666663</v>
      </c>
      <c r="M14" s="90">
        <f t="shared" ref="M14:M19" si="16">+E14</f>
        <v>0</v>
      </c>
      <c r="N14" s="91">
        <v>0.33333333333333331</v>
      </c>
      <c r="O14" s="91">
        <v>0.79166666666666663</v>
      </c>
      <c r="P14" s="92"/>
      <c r="Q14" s="93">
        <f t="shared" ref="Q14:Q19" si="17">+F14-E14</f>
        <v>0</v>
      </c>
      <c r="R14" s="92">
        <v>0.33333333333333331</v>
      </c>
      <c r="S14" s="94">
        <v>1.0416666666666666E-2</v>
      </c>
      <c r="T14" s="92">
        <f t="shared" ref="T14:T18" si="18">IF(Q14-R14-S14&gt;0,(Q14-R14-S14),0)</f>
        <v>0</v>
      </c>
      <c r="U14" s="92"/>
      <c r="V14" s="95"/>
    </row>
    <row r="15" spans="1:22" ht="15" customHeight="1" x14ac:dyDescent="0.25">
      <c r="A15" s="83">
        <v>5</v>
      </c>
      <c r="B15" s="84">
        <v>46182</v>
      </c>
      <c r="C15" s="85">
        <v>0.27083333333333331</v>
      </c>
      <c r="D15" s="85">
        <v>0.85416666666666663</v>
      </c>
      <c r="E15" s="86">
        <v>0.2673611111111111</v>
      </c>
      <c r="F15" s="86">
        <v>0.60555555555555551</v>
      </c>
      <c r="G15" s="87">
        <f t="shared" si="10"/>
        <v>3.4722222222222099E-3</v>
      </c>
      <c r="H15" s="88">
        <f t="shared" si="11"/>
        <v>0</v>
      </c>
      <c r="I15" s="88">
        <f t="shared" si="12"/>
        <v>3.4722222222222099E-3</v>
      </c>
      <c r="J15" s="88">
        <f t="shared" si="13"/>
        <v>0</v>
      </c>
      <c r="K15" s="88">
        <f t="shared" si="14"/>
        <v>0.24861111111111112</v>
      </c>
      <c r="L15" s="89">
        <f t="shared" si="15"/>
        <v>0.24861111111111112</v>
      </c>
      <c r="M15" s="90">
        <f t="shared" si="16"/>
        <v>0.2673611111111111</v>
      </c>
      <c r="N15" s="91">
        <v>0.33333333333333331</v>
      </c>
      <c r="O15" s="91">
        <v>0.79166666666666663</v>
      </c>
      <c r="P15" s="92">
        <f t="shared" si="7"/>
        <v>-0.18611111111111112</v>
      </c>
      <c r="Q15" s="93">
        <f t="shared" si="17"/>
        <v>0.33819444444444441</v>
      </c>
      <c r="R15" s="92">
        <v>0.33333333333333331</v>
      </c>
      <c r="S15" s="94"/>
      <c r="T15" s="92">
        <f t="shared" si="18"/>
        <v>4.8611111111110938E-3</v>
      </c>
      <c r="U15" s="92"/>
      <c r="V15" s="95"/>
    </row>
    <row r="16" spans="1:22" ht="15" customHeight="1" x14ac:dyDescent="0.25">
      <c r="A16" s="83">
        <v>5</v>
      </c>
      <c r="B16" s="84">
        <v>46183</v>
      </c>
      <c r="C16" s="85">
        <v>0.27083333333333331</v>
      </c>
      <c r="D16" s="85">
        <v>0.85416666666666663</v>
      </c>
      <c r="E16" s="86">
        <v>0.26597222222222222</v>
      </c>
      <c r="F16" s="86">
        <v>0.59375</v>
      </c>
      <c r="G16" s="87">
        <f t="shared" si="10"/>
        <v>4.8611111111110938E-3</v>
      </c>
      <c r="H16" s="88">
        <f t="shared" si="11"/>
        <v>0</v>
      </c>
      <c r="I16" s="88">
        <f t="shared" si="12"/>
        <v>4.8611111111110938E-3</v>
      </c>
      <c r="J16" s="88">
        <f t="shared" si="13"/>
        <v>0</v>
      </c>
      <c r="K16" s="88">
        <f t="shared" si="14"/>
        <v>0.26041666666666663</v>
      </c>
      <c r="L16" s="89">
        <f t="shared" si="15"/>
        <v>0.26041666666666663</v>
      </c>
      <c r="M16" s="90">
        <f t="shared" si="16"/>
        <v>0.26597222222222222</v>
      </c>
      <c r="N16" s="91">
        <v>0.33333333333333331</v>
      </c>
      <c r="O16" s="91">
        <v>0.79166666666666663</v>
      </c>
      <c r="P16" s="92"/>
      <c r="Q16" s="93">
        <f t="shared" si="17"/>
        <v>0.32777777777777778</v>
      </c>
      <c r="R16" s="92">
        <v>0.33333333333333331</v>
      </c>
      <c r="S16" s="94">
        <v>1.0416666666666666E-2</v>
      </c>
      <c r="T16" s="92">
        <f t="shared" si="18"/>
        <v>0</v>
      </c>
      <c r="U16" s="92"/>
      <c r="V16" s="95"/>
    </row>
    <row r="17" spans="1:22" ht="15" customHeight="1" x14ac:dyDescent="0.25">
      <c r="A17" s="83">
        <v>5</v>
      </c>
      <c r="B17" s="84">
        <v>46184</v>
      </c>
      <c r="C17" s="85">
        <v>0.27083333333333331</v>
      </c>
      <c r="D17" s="85">
        <v>0.85416666666666663</v>
      </c>
      <c r="E17" s="86">
        <v>0.26666666666666666</v>
      </c>
      <c r="F17" s="86">
        <v>0.85763888888888884</v>
      </c>
      <c r="G17" s="87">
        <f t="shared" si="10"/>
        <v>4.1666666666666519E-3</v>
      </c>
      <c r="H17" s="88">
        <f t="shared" si="11"/>
        <v>3.4722222222222099E-3</v>
      </c>
      <c r="I17" s="88">
        <f t="shared" si="12"/>
        <v>7.6388888888888618E-3</v>
      </c>
      <c r="J17" s="88">
        <f t="shared" si="13"/>
        <v>0</v>
      </c>
      <c r="K17" s="88">
        <f t="shared" si="14"/>
        <v>0</v>
      </c>
      <c r="L17" s="89">
        <f t="shared" si="15"/>
        <v>0</v>
      </c>
      <c r="M17" s="90">
        <f t="shared" si="16"/>
        <v>0.26666666666666666</v>
      </c>
      <c r="N17" s="91">
        <v>0.33333333333333331</v>
      </c>
      <c r="O17" s="91">
        <v>0.79166666666666663</v>
      </c>
      <c r="P17" s="92">
        <f t="shared" si="7"/>
        <v>6.597222222222221E-2</v>
      </c>
      <c r="Q17" s="93">
        <f t="shared" si="17"/>
        <v>0.59097222222222223</v>
      </c>
      <c r="R17" s="92">
        <v>0.33333333333333331</v>
      </c>
      <c r="S17" s="94"/>
      <c r="T17" s="92">
        <f t="shared" si="18"/>
        <v>0.25763888888888892</v>
      </c>
      <c r="U17" s="92"/>
      <c r="V17" s="95"/>
    </row>
    <row r="18" spans="1:22" ht="15" customHeight="1" x14ac:dyDescent="0.25">
      <c r="A18" s="83">
        <v>5</v>
      </c>
      <c r="B18" s="84">
        <v>46185</v>
      </c>
      <c r="C18" s="85">
        <v>0.27083333333333331</v>
      </c>
      <c r="D18" s="85">
        <v>0.85416666666666663</v>
      </c>
      <c r="E18" s="86"/>
      <c r="F18" s="106"/>
      <c r="G18" s="87">
        <f t="shared" si="10"/>
        <v>0.27083333333333331</v>
      </c>
      <c r="H18" s="88">
        <f t="shared" si="11"/>
        <v>0</v>
      </c>
      <c r="I18" s="88">
        <f t="shared" si="12"/>
        <v>0.27083333333333331</v>
      </c>
      <c r="J18" s="88">
        <f t="shared" si="13"/>
        <v>0</v>
      </c>
      <c r="K18" s="88">
        <f t="shared" si="14"/>
        <v>0.85416666666666663</v>
      </c>
      <c r="L18" s="89">
        <f t="shared" si="15"/>
        <v>0.85416666666666663</v>
      </c>
      <c r="M18" s="90">
        <f t="shared" si="16"/>
        <v>0</v>
      </c>
      <c r="N18" s="91">
        <v>0.33333333333333331</v>
      </c>
      <c r="O18" s="91">
        <v>0.79166666666666663</v>
      </c>
      <c r="P18" s="92"/>
      <c r="Q18" s="93">
        <f t="shared" si="17"/>
        <v>0</v>
      </c>
      <c r="R18" s="92">
        <v>0.33333333333333331</v>
      </c>
      <c r="S18" s="94">
        <v>1.0416666666666666E-2</v>
      </c>
      <c r="T18" s="92">
        <f t="shared" si="18"/>
        <v>0</v>
      </c>
      <c r="U18" s="92"/>
      <c r="V18" s="95"/>
    </row>
    <row r="19" spans="1:22" ht="15" customHeight="1" x14ac:dyDescent="0.25">
      <c r="A19" s="96">
        <v>5</v>
      </c>
      <c r="B19" s="97">
        <v>46186</v>
      </c>
      <c r="C19" s="98">
        <v>0.27083333333333331</v>
      </c>
      <c r="D19" s="98">
        <v>0.85416666666666663</v>
      </c>
      <c r="E19" s="99"/>
      <c r="F19" s="99"/>
      <c r="G19" s="100">
        <f t="shared" si="10"/>
        <v>0.27083333333333331</v>
      </c>
      <c r="H19" s="101">
        <f t="shared" si="11"/>
        <v>0</v>
      </c>
      <c r="I19" s="101">
        <f t="shared" si="12"/>
        <v>0.27083333333333331</v>
      </c>
      <c r="J19" s="101">
        <f t="shared" si="13"/>
        <v>0</v>
      </c>
      <c r="K19" s="101">
        <f t="shared" si="14"/>
        <v>0.85416666666666663</v>
      </c>
      <c r="L19" s="102">
        <f t="shared" si="15"/>
        <v>0.85416666666666663</v>
      </c>
      <c r="M19" s="103">
        <f t="shared" si="16"/>
        <v>0</v>
      </c>
      <c r="N19" s="104"/>
      <c r="O19" s="104"/>
      <c r="P19" s="105"/>
      <c r="Q19" s="105">
        <f t="shared" si="17"/>
        <v>0</v>
      </c>
      <c r="R19" s="105"/>
      <c r="S19" s="105"/>
      <c r="T19" s="105"/>
      <c r="U19" s="105">
        <f t="shared" ref="U19" si="19">+F19-E19</f>
        <v>0</v>
      </c>
      <c r="V19" s="95"/>
    </row>
    <row r="20" spans="1:22" ht="15" customHeight="1" x14ac:dyDescent="0.25">
      <c r="A20" s="83">
        <v>5</v>
      </c>
      <c r="B20" s="84">
        <v>46188</v>
      </c>
      <c r="C20" s="85">
        <v>0.27083333333333331</v>
      </c>
      <c r="D20" s="85">
        <v>0.85416666666666663</v>
      </c>
      <c r="E20" s="86"/>
      <c r="F20" s="106"/>
      <c r="G20" s="87">
        <f t="shared" ref="G20:G23" si="20">IF(C20-E20&gt;0,+C20-E20,0)</f>
        <v>0.27083333333333331</v>
      </c>
      <c r="H20" s="88">
        <f t="shared" ref="H20:H23" si="21">IF(F20-D20&gt;0,+F20-D20,0)</f>
        <v>0</v>
      </c>
      <c r="I20" s="88">
        <f t="shared" ref="I20:I23" si="22">SUM(G20:H20)</f>
        <v>0.27083333333333331</v>
      </c>
      <c r="J20" s="88">
        <f t="shared" ref="J20:J23" si="23">IF(C20-E20&lt;0,+(+C20-E20)*-1,0)</f>
        <v>0</v>
      </c>
      <c r="K20" s="88">
        <f t="shared" ref="K20:K23" si="24">IF(F20-D20&lt;0,+(+F20-D20)*-1,0)</f>
        <v>0.85416666666666663</v>
      </c>
      <c r="L20" s="89">
        <f t="shared" ref="L20:L23" si="25">+J20+K20</f>
        <v>0.85416666666666663</v>
      </c>
      <c r="M20" s="90">
        <f t="shared" ref="M20:M23" si="26">+E20</f>
        <v>0</v>
      </c>
      <c r="N20" s="91">
        <v>0.33333333333333331</v>
      </c>
      <c r="O20" s="91">
        <v>0.79166666666666663</v>
      </c>
      <c r="P20" s="92">
        <f t="shared" si="7"/>
        <v>-0.79166666666666663</v>
      </c>
      <c r="Q20" s="93">
        <f t="shared" ref="Q20:Q23" si="27">+F20-E20</f>
        <v>0</v>
      </c>
      <c r="R20" s="92">
        <v>0.33333333333333331</v>
      </c>
      <c r="S20" s="94"/>
      <c r="T20" s="92">
        <f t="shared" ref="T20:T23" si="28">IF(Q20-R20-S20&gt;0,(Q20-R20-S20),0)</f>
        <v>0</v>
      </c>
      <c r="U20" s="92"/>
      <c r="V20" s="95"/>
    </row>
    <row r="21" spans="1:22" ht="15" customHeight="1" x14ac:dyDescent="0.25">
      <c r="A21" s="83">
        <v>5</v>
      </c>
      <c r="B21" s="84">
        <v>46189</v>
      </c>
      <c r="C21" s="85">
        <v>0.27083333333333331</v>
      </c>
      <c r="D21" s="85">
        <v>0.85416666666666663</v>
      </c>
      <c r="E21" s="86"/>
      <c r="F21" s="106"/>
      <c r="G21" s="87">
        <f t="shared" si="20"/>
        <v>0.27083333333333331</v>
      </c>
      <c r="H21" s="88">
        <f t="shared" si="21"/>
        <v>0</v>
      </c>
      <c r="I21" s="88">
        <f t="shared" si="22"/>
        <v>0.27083333333333331</v>
      </c>
      <c r="J21" s="88">
        <f t="shared" si="23"/>
        <v>0</v>
      </c>
      <c r="K21" s="88">
        <f t="shared" si="24"/>
        <v>0.85416666666666663</v>
      </c>
      <c r="L21" s="89">
        <f t="shared" si="25"/>
        <v>0.85416666666666663</v>
      </c>
      <c r="M21" s="90">
        <f t="shared" si="26"/>
        <v>0</v>
      </c>
      <c r="N21" s="91">
        <v>0.33333333333333331</v>
      </c>
      <c r="O21" s="91">
        <v>0.79166666666666663</v>
      </c>
      <c r="P21" s="92"/>
      <c r="Q21" s="93">
        <f t="shared" si="27"/>
        <v>0</v>
      </c>
      <c r="R21" s="92">
        <v>0.33333333333333331</v>
      </c>
      <c r="S21" s="94">
        <v>1.0416666666666666E-2</v>
      </c>
      <c r="T21" s="92">
        <f t="shared" si="28"/>
        <v>0</v>
      </c>
      <c r="U21" s="92"/>
      <c r="V21" s="95"/>
    </row>
    <row r="22" spans="1:22" ht="15" customHeight="1" x14ac:dyDescent="0.25">
      <c r="A22" s="83">
        <v>5</v>
      </c>
      <c r="B22" s="84">
        <v>46190</v>
      </c>
      <c r="C22" s="85">
        <v>0.27083333333333331</v>
      </c>
      <c r="D22" s="85">
        <v>0.85416666666666663</v>
      </c>
      <c r="E22" s="86"/>
      <c r="F22" s="86"/>
      <c r="G22" s="87">
        <f t="shared" si="20"/>
        <v>0.27083333333333331</v>
      </c>
      <c r="H22" s="88">
        <f t="shared" si="21"/>
        <v>0</v>
      </c>
      <c r="I22" s="88">
        <f t="shared" si="22"/>
        <v>0.27083333333333331</v>
      </c>
      <c r="J22" s="88">
        <f t="shared" si="23"/>
        <v>0</v>
      </c>
      <c r="K22" s="88">
        <f t="shared" si="24"/>
        <v>0.85416666666666663</v>
      </c>
      <c r="L22" s="89">
        <f t="shared" si="25"/>
        <v>0.85416666666666663</v>
      </c>
      <c r="M22" s="90">
        <f t="shared" si="26"/>
        <v>0</v>
      </c>
      <c r="N22" s="91">
        <v>0.33333333333333331</v>
      </c>
      <c r="O22" s="91">
        <v>0.79166666666666663</v>
      </c>
      <c r="P22" s="92">
        <f t="shared" si="7"/>
        <v>-0.79166666666666663</v>
      </c>
      <c r="Q22" s="93">
        <f t="shared" si="27"/>
        <v>0</v>
      </c>
      <c r="R22" s="92">
        <v>0.33333333333333331</v>
      </c>
      <c r="S22" s="94"/>
      <c r="T22" s="92">
        <f t="shared" si="28"/>
        <v>0</v>
      </c>
      <c r="U22" s="92"/>
      <c r="V22" s="95"/>
    </row>
    <row r="23" spans="1:22" ht="15" customHeight="1" x14ac:dyDescent="0.25">
      <c r="A23" s="83">
        <v>5</v>
      </c>
      <c r="B23" s="84">
        <v>46191</v>
      </c>
      <c r="C23" s="85">
        <v>0.27083333333333331</v>
      </c>
      <c r="D23" s="85">
        <v>0.85416666666666663</v>
      </c>
      <c r="E23" s="86"/>
      <c r="F23" s="86"/>
      <c r="G23" s="87">
        <f t="shared" si="20"/>
        <v>0.27083333333333331</v>
      </c>
      <c r="H23" s="88">
        <f t="shared" si="21"/>
        <v>0</v>
      </c>
      <c r="I23" s="88">
        <f t="shared" si="22"/>
        <v>0.27083333333333331</v>
      </c>
      <c r="J23" s="88">
        <f t="shared" si="23"/>
        <v>0</v>
      </c>
      <c r="K23" s="88">
        <f t="shared" si="24"/>
        <v>0.85416666666666663</v>
      </c>
      <c r="L23" s="89">
        <f t="shared" si="25"/>
        <v>0.85416666666666663</v>
      </c>
      <c r="M23" s="90">
        <f t="shared" si="26"/>
        <v>0</v>
      </c>
      <c r="N23" s="91">
        <v>0.33333333333333331</v>
      </c>
      <c r="O23" s="91">
        <v>0.79166666666666663</v>
      </c>
      <c r="P23" s="92"/>
      <c r="Q23" s="93">
        <f t="shared" si="27"/>
        <v>0</v>
      </c>
      <c r="R23" s="92">
        <v>0.33333333333333331</v>
      </c>
      <c r="S23" s="94">
        <v>1.0416666666666666E-2</v>
      </c>
      <c r="T23" s="92">
        <f t="shared" si="28"/>
        <v>0</v>
      </c>
      <c r="U23" s="92"/>
      <c r="V23" s="95"/>
    </row>
    <row r="24" spans="1:22" ht="15" customHeight="1" x14ac:dyDescent="0.25">
      <c r="A24" s="83">
        <v>5</v>
      </c>
      <c r="B24" s="84">
        <v>46192</v>
      </c>
      <c r="C24" s="85">
        <v>0.27083333333333331</v>
      </c>
      <c r="D24" s="85">
        <v>0.85416666666666663</v>
      </c>
      <c r="E24" s="86"/>
      <c r="F24" s="106"/>
      <c r="G24" s="87">
        <f t="shared" ref="G24:G29" si="29">IF(C24-E24&gt;0,+C24-E24,0)</f>
        <v>0.27083333333333331</v>
      </c>
      <c r="H24" s="88">
        <f t="shared" ref="H24:H29" si="30">IF(F24-D24&gt;0,+F24-D24,0)</f>
        <v>0</v>
      </c>
      <c r="I24" s="88">
        <f t="shared" ref="I24:I29" si="31">SUM(G24:H24)</f>
        <v>0.27083333333333331</v>
      </c>
      <c r="J24" s="88">
        <f t="shared" ref="J24:J29" si="32">IF(C24-E24&lt;0,+(+C24-E24)*-1,0)</f>
        <v>0</v>
      </c>
      <c r="K24" s="88">
        <f t="shared" ref="K24:K29" si="33">IF(F24-D24&lt;0,+(+F24-D24)*-1,0)</f>
        <v>0.85416666666666663</v>
      </c>
      <c r="L24" s="89">
        <f t="shared" ref="L24:L29" si="34">+J24+K24</f>
        <v>0.85416666666666663</v>
      </c>
      <c r="M24" s="90">
        <f t="shared" ref="M24:M29" si="35">+E24</f>
        <v>0</v>
      </c>
      <c r="N24" s="91">
        <v>0.33333333333333331</v>
      </c>
      <c r="O24" s="91">
        <v>0.79166666666666663</v>
      </c>
      <c r="P24" s="92">
        <f t="shared" si="7"/>
        <v>-0.79166666666666663</v>
      </c>
      <c r="Q24" s="93">
        <f t="shared" ref="Q24:Q29" si="36">+F24-E24</f>
        <v>0</v>
      </c>
      <c r="R24" s="92">
        <v>0.33333333333333331</v>
      </c>
      <c r="S24" s="94"/>
      <c r="T24" s="92">
        <f t="shared" ref="T24" si="37">IF(Q24-R24-S24&gt;0,(Q24-R24-S24),0)</f>
        <v>0</v>
      </c>
      <c r="U24" s="92"/>
      <c r="V24" s="95"/>
    </row>
    <row r="25" spans="1:22" ht="15" customHeight="1" x14ac:dyDescent="0.25">
      <c r="A25" s="96">
        <v>5</v>
      </c>
      <c r="B25" s="97">
        <v>46193</v>
      </c>
      <c r="C25" s="98">
        <v>0.27083333333333331</v>
      </c>
      <c r="D25" s="98">
        <v>0.85416666666666663</v>
      </c>
      <c r="E25" s="99"/>
      <c r="F25" s="99"/>
      <c r="G25" s="100">
        <f t="shared" si="29"/>
        <v>0.27083333333333331</v>
      </c>
      <c r="H25" s="101">
        <f t="shared" si="30"/>
        <v>0</v>
      </c>
      <c r="I25" s="101">
        <f t="shared" si="31"/>
        <v>0.27083333333333331</v>
      </c>
      <c r="J25" s="101">
        <f t="shared" si="32"/>
        <v>0</v>
      </c>
      <c r="K25" s="101">
        <f t="shared" si="33"/>
        <v>0.85416666666666663</v>
      </c>
      <c r="L25" s="102">
        <f t="shared" si="34"/>
        <v>0.85416666666666663</v>
      </c>
      <c r="M25" s="103">
        <f t="shared" si="35"/>
        <v>0</v>
      </c>
      <c r="N25" s="104"/>
      <c r="O25" s="104"/>
      <c r="P25" s="105"/>
      <c r="Q25" s="105">
        <f t="shared" si="36"/>
        <v>0</v>
      </c>
      <c r="R25" s="105"/>
      <c r="S25" s="105"/>
      <c r="T25" s="105"/>
      <c r="U25" s="105">
        <f t="shared" ref="U25" si="38">+F25-E25</f>
        <v>0</v>
      </c>
      <c r="V25" s="95"/>
    </row>
    <row r="26" spans="1:22" ht="15" customHeight="1" x14ac:dyDescent="0.25">
      <c r="A26" s="83">
        <v>5</v>
      </c>
      <c r="B26" s="84">
        <v>46195</v>
      </c>
      <c r="C26" s="85">
        <v>0.27083333333333331</v>
      </c>
      <c r="D26" s="85">
        <v>0.85416666666666663</v>
      </c>
      <c r="E26" s="86"/>
      <c r="F26" s="86"/>
      <c r="G26" s="87">
        <f t="shared" si="29"/>
        <v>0.27083333333333331</v>
      </c>
      <c r="H26" s="88">
        <f t="shared" si="30"/>
        <v>0</v>
      </c>
      <c r="I26" s="88">
        <f t="shared" si="31"/>
        <v>0.27083333333333331</v>
      </c>
      <c r="J26" s="88">
        <f t="shared" si="32"/>
        <v>0</v>
      </c>
      <c r="K26" s="88">
        <f t="shared" si="33"/>
        <v>0.85416666666666663</v>
      </c>
      <c r="L26" s="89">
        <f t="shared" si="34"/>
        <v>0.85416666666666663</v>
      </c>
      <c r="M26" s="90">
        <f t="shared" si="35"/>
        <v>0</v>
      </c>
      <c r="N26" s="91">
        <v>0.33333333333333331</v>
      </c>
      <c r="O26" s="91">
        <v>0.79166666666666663</v>
      </c>
      <c r="P26" s="92">
        <f t="shared" ref="P26" si="39">+F26-O26</f>
        <v>-0.79166666666666663</v>
      </c>
      <c r="Q26" s="93">
        <f t="shared" si="36"/>
        <v>0</v>
      </c>
      <c r="R26" s="92">
        <v>0.33333333333333331</v>
      </c>
      <c r="S26" s="94"/>
      <c r="T26" s="92">
        <f t="shared" ref="T26" si="40">IF(Q26-R26-S26&gt;0,(Q26-R26-S26),0)</f>
        <v>0</v>
      </c>
      <c r="U26" s="92"/>
      <c r="V26" s="95"/>
    </row>
    <row r="27" spans="1:22" ht="15" customHeight="1" x14ac:dyDescent="0.25">
      <c r="A27" s="83">
        <v>5</v>
      </c>
      <c r="B27" s="84">
        <v>46196</v>
      </c>
      <c r="C27" s="85">
        <v>0.27083333333333331</v>
      </c>
      <c r="D27" s="85">
        <v>0.85416666666666663</v>
      </c>
      <c r="E27" s="86"/>
      <c r="F27" s="106"/>
      <c r="G27" s="87">
        <f t="shared" si="29"/>
        <v>0.27083333333333331</v>
      </c>
      <c r="H27" s="88">
        <f t="shared" si="30"/>
        <v>0</v>
      </c>
      <c r="I27" s="88">
        <f t="shared" si="31"/>
        <v>0.27083333333333331</v>
      </c>
      <c r="J27" s="88">
        <f t="shared" si="32"/>
        <v>0</v>
      </c>
      <c r="K27" s="88">
        <f t="shared" si="33"/>
        <v>0.85416666666666663</v>
      </c>
      <c r="L27" s="89">
        <f t="shared" si="34"/>
        <v>0.85416666666666663</v>
      </c>
      <c r="M27" s="90">
        <f t="shared" si="35"/>
        <v>0</v>
      </c>
      <c r="N27" s="91">
        <v>0.33333333333333331</v>
      </c>
      <c r="O27" s="91">
        <v>0.79166666666666663</v>
      </c>
      <c r="P27" s="92">
        <f t="shared" si="7"/>
        <v>-0.79166666666666663</v>
      </c>
      <c r="Q27" s="93">
        <f t="shared" si="36"/>
        <v>0</v>
      </c>
      <c r="R27" s="92">
        <v>0.33333333333333331</v>
      </c>
      <c r="S27" s="94"/>
      <c r="T27" s="92">
        <f t="shared" ref="T27:T30" si="41">IF(Q27-R27-S27&gt;0,(Q27-R27-S27),0)</f>
        <v>0</v>
      </c>
      <c r="U27" s="92"/>
      <c r="V27" s="95"/>
    </row>
    <row r="28" spans="1:22" ht="15" customHeight="1" x14ac:dyDescent="0.25">
      <c r="A28" s="83">
        <v>5</v>
      </c>
      <c r="B28" s="84">
        <v>46197</v>
      </c>
      <c r="C28" s="85">
        <v>0.27083333333333331</v>
      </c>
      <c r="D28" s="85">
        <v>0.85416666666666663</v>
      </c>
      <c r="E28" s="86"/>
      <c r="F28" s="86"/>
      <c r="G28" s="87">
        <f t="shared" si="29"/>
        <v>0.27083333333333331</v>
      </c>
      <c r="H28" s="88">
        <f t="shared" si="30"/>
        <v>0</v>
      </c>
      <c r="I28" s="88">
        <f t="shared" si="31"/>
        <v>0.27083333333333331</v>
      </c>
      <c r="J28" s="88">
        <f t="shared" si="32"/>
        <v>0</v>
      </c>
      <c r="K28" s="88">
        <f t="shared" si="33"/>
        <v>0.85416666666666663</v>
      </c>
      <c r="L28" s="89">
        <f t="shared" si="34"/>
        <v>0.85416666666666663</v>
      </c>
      <c r="M28" s="90">
        <f t="shared" si="35"/>
        <v>0</v>
      </c>
      <c r="N28" s="91">
        <v>0.33333333333333331</v>
      </c>
      <c r="O28" s="91">
        <v>0.79166666666666663</v>
      </c>
      <c r="P28" s="92"/>
      <c r="Q28" s="93">
        <f t="shared" si="36"/>
        <v>0</v>
      </c>
      <c r="R28" s="92">
        <v>0.33333333333333331</v>
      </c>
      <c r="S28" s="94">
        <v>1.0416666666666666E-2</v>
      </c>
      <c r="T28" s="92">
        <f t="shared" si="41"/>
        <v>0</v>
      </c>
      <c r="U28" s="92"/>
      <c r="V28" s="95"/>
    </row>
    <row r="29" spans="1:22" ht="15" customHeight="1" x14ac:dyDescent="0.25">
      <c r="A29" s="83">
        <v>5</v>
      </c>
      <c r="B29" s="84">
        <v>46198</v>
      </c>
      <c r="C29" s="85">
        <v>0.27083333333333331</v>
      </c>
      <c r="D29" s="85">
        <v>0.85416666666666663</v>
      </c>
      <c r="E29" s="86"/>
      <c r="F29" s="86"/>
      <c r="G29" s="87">
        <f t="shared" si="29"/>
        <v>0.27083333333333331</v>
      </c>
      <c r="H29" s="88">
        <f t="shared" si="30"/>
        <v>0</v>
      </c>
      <c r="I29" s="88">
        <f t="shared" si="31"/>
        <v>0.27083333333333331</v>
      </c>
      <c r="J29" s="88">
        <f t="shared" si="32"/>
        <v>0</v>
      </c>
      <c r="K29" s="88">
        <f t="shared" si="33"/>
        <v>0.85416666666666663</v>
      </c>
      <c r="L29" s="89">
        <f t="shared" si="34"/>
        <v>0.85416666666666663</v>
      </c>
      <c r="M29" s="90">
        <f t="shared" si="35"/>
        <v>0</v>
      </c>
      <c r="N29" s="91">
        <v>0.33333333333333331</v>
      </c>
      <c r="O29" s="91">
        <v>0.79166666666666663</v>
      </c>
      <c r="P29" s="92">
        <f t="shared" si="7"/>
        <v>-0.79166666666666663</v>
      </c>
      <c r="Q29" s="93">
        <f t="shared" si="36"/>
        <v>0</v>
      </c>
      <c r="R29" s="92">
        <v>0.33333333333333331</v>
      </c>
      <c r="S29" s="94"/>
      <c r="T29" s="92">
        <f t="shared" si="41"/>
        <v>0</v>
      </c>
      <c r="U29" s="92"/>
      <c r="V29" s="95"/>
    </row>
    <row r="30" spans="1:22" ht="15" customHeight="1" x14ac:dyDescent="0.25">
      <c r="A30" s="83">
        <v>5</v>
      </c>
      <c r="B30" s="84">
        <v>46199</v>
      </c>
      <c r="C30" s="85">
        <v>0.27083333333333331</v>
      </c>
      <c r="D30" s="85">
        <v>0.85416666666666663</v>
      </c>
      <c r="E30" s="86"/>
      <c r="F30" s="106"/>
      <c r="G30" s="87">
        <f t="shared" ref="G30:G33" si="42">IF(C30-E30&gt;0,+C30-E30,0)</f>
        <v>0.27083333333333331</v>
      </c>
      <c r="H30" s="88">
        <f t="shared" ref="H30:H33" si="43">IF(F30-D30&gt;0,+F30-D30,0)</f>
        <v>0</v>
      </c>
      <c r="I30" s="88">
        <f t="shared" ref="I30:I33" si="44">SUM(G30:H30)</f>
        <v>0.27083333333333331</v>
      </c>
      <c r="J30" s="88">
        <f t="shared" ref="J30:J33" si="45">IF(C30-E30&lt;0,+(+C30-E30)*-1,0)</f>
        <v>0</v>
      </c>
      <c r="K30" s="88">
        <f t="shared" ref="K30:K33" si="46">IF(F30-D30&lt;0,+(+F30-D30)*-1,0)</f>
        <v>0.85416666666666663</v>
      </c>
      <c r="L30" s="89">
        <f t="shared" ref="L30:L33" si="47">+J30+K30</f>
        <v>0.85416666666666663</v>
      </c>
      <c r="M30" s="90">
        <f t="shared" ref="M30:M33" si="48">+E30</f>
        <v>0</v>
      </c>
      <c r="N30" s="91">
        <v>0.33333333333333331</v>
      </c>
      <c r="O30" s="91">
        <v>0.79166666666666663</v>
      </c>
      <c r="P30" s="92"/>
      <c r="Q30" s="93">
        <f t="shared" ref="Q30:Q33" si="49">+F30-E30</f>
        <v>0</v>
      </c>
      <c r="R30" s="92">
        <v>0.33333333333333331</v>
      </c>
      <c r="S30" s="94">
        <v>1.0416666666666666E-2</v>
      </c>
      <c r="T30" s="92">
        <f t="shared" si="41"/>
        <v>0</v>
      </c>
      <c r="U30" s="92"/>
      <c r="V30" s="95"/>
    </row>
    <row r="31" spans="1:22" ht="15" customHeight="1" x14ac:dyDescent="0.25">
      <c r="A31" s="96">
        <v>5</v>
      </c>
      <c r="B31" s="97">
        <v>46200</v>
      </c>
      <c r="C31" s="98">
        <v>0.27083333333333331</v>
      </c>
      <c r="D31" s="98">
        <v>0.85416666666666663</v>
      </c>
      <c r="E31" s="99"/>
      <c r="F31" s="99"/>
      <c r="G31" s="100">
        <f t="shared" ref="G31:G33" si="50">IF(C31-E31&gt;0,+C31-E31,0)</f>
        <v>0.27083333333333331</v>
      </c>
      <c r="H31" s="101">
        <f t="shared" ref="H31:H33" si="51">IF(F31-D31&gt;0,+F31-D31,0)</f>
        <v>0</v>
      </c>
      <c r="I31" s="101">
        <f t="shared" ref="I31:I33" si="52">SUM(G31:H31)</f>
        <v>0.27083333333333331</v>
      </c>
      <c r="J31" s="101">
        <f t="shared" ref="J31:J33" si="53">IF(C31-E31&lt;0,+(+C31-E31)*-1,0)</f>
        <v>0</v>
      </c>
      <c r="K31" s="101">
        <f t="shared" ref="K31:K33" si="54">IF(F31-D31&lt;0,+(+F31-D31)*-1,0)</f>
        <v>0.85416666666666663</v>
      </c>
      <c r="L31" s="102">
        <f t="shared" ref="L31:L33" si="55">+J31+K31</f>
        <v>0.85416666666666663</v>
      </c>
      <c r="M31" s="103">
        <f t="shared" ref="M31:M33" si="56">+E31</f>
        <v>0</v>
      </c>
      <c r="N31" s="104"/>
      <c r="O31" s="104"/>
      <c r="P31" s="105"/>
      <c r="Q31" s="105">
        <f t="shared" ref="Q31:Q33" si="57">+F31-E31</f>
        <v>0</v>
      </c>
      <c r="R31" s="105"/>
      <c r="S31" s="105"/>
      <c r="T31" s="105"/>
      <c r="U31" s="105">
        <f t="shared" ref="U31" si="58">+F31-E31</f>
        <v>0</v>
      </c>
      <c r="V31" s="95"/>
    </row>
    <row r="32" spans="1:22" ht="15" customHeight="1" x14ac:dyDescent="0.25">
      <c r="A32" s="83">
        <v>5</v>
      </c>
      <c r="B32" s="84">
        <v>46202</v>
      </c>
      <c r="C32" s="85">
        <v>0.27083333333333331</v>
      </c>
      <c r="D32" s="85">
        <v>0.85416666666666663</v>
      </c>
      <c r="E32" s="86"/>
      <c r="F32" s="106"/>
      <c r="G32" s="87">
        <f t="shared" si="50"/>
        <v>0.27083333333333331</v>
      </c>
      <c r="H32" s="88">
        <f t="shared" si="51"/>
        <v>0</v>
      </c>
      <c r="I32" s="88">
        <f t="shared" si="52"/>
        <v>0.27083333333333331</v>
      </c>
      <c r="J32" s="88">
        <f t="shared" si="53"/>
        <v>0</v>
      </c>
      <c r="K32" s="88">
        <f t="shared" si="54"/>
        <v>0.85416666666666663</v>
      </c>
      <c r="L32" s="89">
        <f t="shared" si="55"/>
        <v>0.85416666666666663</v>
      </c>
      <c r="M32" s="90">
        <f t="shared" si="56"/>
        <v>0</v>
      </c>
      <c r="N32" s="91">
        <v>0.33333333333333331</v>
      </c>
      <c r="O32" s="91">
        <v>0.79166666666666663</v>
      </c>
      <c r="P32" s="92">
        <f t="shared" ref="P32:P33" si="59">+F32-O32</f>
        <v>-0.79166666666666663</v>
      </c>
      <c r="Q32" s="93">
        <f t="shared" si="57"/>
        <v>0</v>
      </c>
      <c r="R32" s="92">
        <v>0.33333333333333331</v>
      </c>
      <c r="S32" s="94"/>
      <c r="T32" s="92">
        <f t="shared" ref="T32:T33" si="60">IF(Q32-R32-S32&gt;0,(Q32-R32-S32),0)</f>
        <v>0</v>
      </c>
      <c r="U32" s="92"/>
      <c r="V32" s="95"/>
    </row>
    <row r="33" spans="1:22" ht="15" customHeight="1" x14ac:dyDescent="0.25">
      <c r="A33" s="83">
        <v>5</v>
      </c>
      <c r="B33" s="84">
        <v>46203</v>
      </c>
      <c r="C33" s="85">
        <v>0.27083333333333331</v>
      </c>
      <c r="D33" s="85">
        <v>0.85416666666666663</v>
      </c>
      <c r="E33" s="86"/>
      <c r="F33" s="86"/>
      <c r="G33" s="87">
        <f t="shared" si="50"/>
        <v>0.27083333333333331</v>
      </c>
      <c r="H33" s="88">
        <f t="shared" si="51"/>
        <v>0</v>
      </c>
      <c r="I33" s="88">
        <f t="shared" si="52"/>
        <v>0.27083333333333331</v>
      </c>
      <c r="J33" s="88">
        <f t="shared" si="53"/>
        <v>0</v>
      </c>
      <c r="K33" s="88">
        <f t="shared" si="54"/>
        <v>0.85416666666666663</v>
      </c>
      <c r="L33" s="89">
        <f t="shared" si="55"/>
        <v>0.85416666666666663</v>
      </c>
      <c r="M33" s="90">
        <f t="shared" si="56"/>
        <v>0</v>
      </c>
      <c r="N33" s="91">
        <v>0.33333333333333331</v>
      </c>
      <c r="O33" s="91">
        <v>0.79166666666666663</v>
      </c>
      <c r="P33" s="92"/>
      <c r="Q33" s="93">
        <f t="shared" si="57"/>
        <v>0</v>
      </c>
      <c r="R33" s="92">
        <v>0.33333333333333331</v>
      </c>
      <c r="S33" s="94">
        <v>1.0416666666666666E-2</v>
      </c>
      <c r="T33" s="92">
        <f t="shared" si="60"/>
        <v>0</v>
      </c>
      <c r="U33" s="92"/>
      <c r="V33" s="95"/>
    </row>
    <row r="34" spans="1:22" ht="18" customHeight="1" x14ac:dyDescent="0.25">
      <c r="A34" s="108"/>
      <c r="B34" s="108"/>
      <c r="C34" s="108"/>
      <c r="D34" s="108"/>
      <c r="E34" s="109"/>
      <c r="F34" s="109"/>
      <c r="G34" s="108"/>
      <c r="H34" s="108"/>
      <c r="I34" s="108"/>
      <c r="J34" s="108"/>
      <c r="K34" s="108"/>
      <c r="L34" s="108"/>
      <c r="M34" s="110"/>
      <c r="N34" s="108"/>
      <c r="O34" s="108"/>
      <c r="P34" s="111">
        <f>SUM(P8:P33)</f>
        <v>-5.4618055555555554</v>
      </c>
      <c r="Q34" s="112"/>
      <c r="R34" s="112"/>
      <c r="S34" s="112"/>
      <c r="T34" s="111">
        <f>SUM(T8:T33)</f>
        <v>1.0409722222222222</v>
      </c>
      <c r="U34" s="111">
        <f>SUM(U8:U33)</f>
        <v>0</v>
      </c>
    </row>
    <row r="35" spans="1:22" ht="18" customHeight="1" x14ac:dyDescent="0.2">
      <c r="P35" s="113"/>
      <c r="Q35" s="113"/>
      <c r="R35" s="114"/>
      <c r="S35" s="114"/>
      <c r="T35" s="113"/>
      <c r="U35" s="113"/>
    </row>
    <row r="36" spans="1:22" ht="18" customHeight="1" x14ac:dyDescent="0.2">
      <c r="P36" s="113"/>
      <c r="Q36" s="113"/>
      <c r="R36" s="114"/>
      <c r="S36" s="114"/>
      <c r="T36" s="113"/>
      <c r="U36" s="113"/>
    </row>
    <row r="37" spans="1:22" ht="18" customHeight="1" x14ac:dyDescent="0.2">
      <c r="P37" s="113"/>
      <c r="Q37" s="114"/>
      <c r="R37" s="114"/>
      <c r="S37" s="114"/>
      <c r="T37" s="113"/>
      <c r="U37" s="113"/>
    </row>
    <row r="38" spans="1:22" ht="12.75" thickBot="1" x14ac:dyDescent="0.25">
      <c r="A38" s="115"/>
    </row>
    <row r="39" spans="1:22" ht="48" x14ac:dyDescent="0.2">
      <c r="G39" s="140" t="s">
        <v>24</v>
      </c>
      <c r="H39" s="140"/>
      <c r="I39" s="116" t="s">
        <v>25</v>
      </c>
      <c r="J39" s="116" t="s">
        <v>26</v>
      </c>
      <c r="K39" s="117" t="s">
        <v>27</v>
      </c>
      <c r="L39" s="116" t="s">
        <v>28</v>
      </c>
      <c r="M39" s="118" t="s">
        <v>29</v>
      </c>
      <c r="N39" s="119" t="s">
        <v>30</v>
      </c>
      <c r="O39" s="120" t="s">
        <v>31</v>
      </c>
      <c r="P39" s="121" t="s">
        <v>32</v>
      </c>
    </row>
    <row r="40" spans="1:22" x14ac:dyDescent="0.2">
      <c r="A40" s="122"/>
      <c r="G40" s="152" t="s">
        <v>33</v>
      </c>
      <c r="H40" s="151"/>
      <c r="I40" s="123">
        <v>15</v>
      </c>
      <c r="J40" s="123">
        <v>53</v>
      </c>
      <c r="K40" s="136">
        <v>2.0083000000000002</v>
      </c>
      <c r="L40" s="124">
        <v>0.25</v>
      </c>
      <c r="M40" s="125">
        <f>+K40*L40</f>
        <v>0.50207500000000005</v>
      </c>
      <c r="N40" s="126">
        <f>+I40*M40</f>
        <v>7.5311250000000012</v>
      </c>
      <c r="O40" s="123">
        <f>(+M40/60)*J40</f>
        <v>0.44349958333333339</v>
      </c>
      <c r="P40" s="127">
        <f>+N40+O40</f>
        <v>7.9746245833333349</v>
      </c>
    </row>
    <row r="41" spans="1:22" x14ac:dyDescent="0.2">
      <c r="A41" s="115"/>
      <c r="G41" s="152" t="s">
        <v>34</v>
      </c>
      <c r="H41" s="151"/>
      <c r="I41" s="123">
        <v>61</v>
      </c>
      <c r="J41" s="123">
        <v>59</v>
      </c>
      <c r="K41" s="136">
        <v>2.0083000000000002</v>
      </c>
      <c r="L41" s="124">
        <v>1.5</v>
      </c>
      <c r="M41" s="125">
        <f>+K41*L41</f>
        <v>3.0124500000000003</v>
      </c>
      <c r="N41" s="126">
        <f>+I41*M41</f>
        <v>183.75945000000002</v>
      </c>
      <c r="O41" s="123">
        <f>(+M41/60)*J41</f>
        <v>2.9622425000000003</v>
      </c>
      <c r="P41" s="127">
        <f t="shared" ref="P41:P42" si="61">+N41+O41</f>
        <v>186.72169250000002</v>
      </c>
    </row>
    <row r="42" spans="1:22" x14ac:dyDescent="0.2">
      <c r="A42" s="115"/>
      <c r="G42" s="152" t="s">
        <v>35</v>
      </c>
      <c r="H42" s="151"/>
      <c r="I42" s="123">
        <v>66</v>
      </c>
      <c r="J42" s="123">
        <v>2</v>
      </c>
      <c r="K42" s="136">
        <v>2.0083000000000002</v>
      </c>
      <c r="L42" s="124">
        <v>2</v>
      </c>
      <c r="M42" s="125">
        <f>+K42*L42</f>
        <v>4.0166000000000004</v>
      </c>
      <c r="N42" s="126">
        <f>+I42*M42</f>
        <v>265.09560000000005</v>
      </c>
      <c r="O42" s="123">
        <f>(+M42/60)*J42</f>
        <v>0.13388666666666668</v>
      </c>
      <c r="P42" s="127">
        <f t="shared" si="61"/>
        <v>265.22948666666673</v>
      </c>
      <c r="R42" s="128"/>
      <c r="S42" s="128"/>
      <c r="T42" s="128"/>
      <c r="V42" s="129"/>
    </row>
    <row r="43" spans="1:22" ht="12.75" thickBot="1" x14ac:dyDescent="0.25">
      <c r="L43" s="130" t="s">
        <v>36</v>
      </c>
      <c r="M43" s="131"/>
      <c r="N43" s="132">
        <f>SUM(N40:N42)</f>
        <v>456.38617500000009</v>
      </c>
      <c r="O43" s="132">
        <f>SUM(O40:O42)</f>
        <v>3.5396287500000003</v>
      </c>
      <c r="P43" s="133">
        <f>SUM(P40:P42)</f>
        <v>459.92580375000011</v>
      </c>
      <c r="R43" s="141" t="s">
        <v>37</v>
      </c>
      <c r="S43" s="141"/>
      <c r="T43" s="141"/>
    </row>
    <row r="45" spans="1:22" x14ac:dyDescent="0.2">
      <c r="A45" s="134"/>
    </row>
  </sheetData>
  <mergeCells count="14">
    <mergeCell ref="G39:H39"/>
    <mergeCell ref="R43:T43"/>
    <mergeCell ref="R2:R3"/>
    <mergeCell ref="A6:A7"/>
    <mergeCell ref="B6:B7"/>
    <mergeCell ref="C6:C7"/>
    <mergeCell ref="D6:D7"/>
    <mergeCell ref="E6:E7"/>
    <mergeCell ref="F6:F7"/>
    <mergeCell ref="G6:L6"/>
    <mergeCell ref="M6:U6"/>
    <mergeCell ref="G40:H40"/>
    <mergeCell ref="G41:H41"/>
    <mergeCell ref="G42:H42"/>
  </mergeCells>
  <pageMargins left="0.15" right="0.19" top="0.74803149606299213" bottom="0.74803149606299213" header="0.31496062992125984" footer="0.31496062992125984"/>
  <pageSetup scale="63" orientation="landscape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8"/>
  <sheetViews>
    <sheetView workbookViewId="0">
      <selection activeCell="P9" sqref="P9"/>
    </sheetView>
  </sheetViews>
  <sheetFormatPr baseColWidth="10" defaultColWidth="8" defaultRowHeight="12.75" x14ac:dyDescent="0.2"/>
  <cols>
    <col min="1" max="1" width="8" style="1" customWidth="1"/>
    <col min="2" max="2" width="10.42578125" style="1" customWidth="1"/>
    <col min="3" max="3" width="7.7109375" style="1" customWidth="1"/>
    <col min="4" max="4" width="8.5703125" style="1" customWidth="1"/>
    <col min="5" max="5" width="8.85546875" style="1" customWidth="1"/>
    <col min="6" max="6" width="8.7109375" style="1" customWidth="1"/>
    <col min="7" max="7" width="9.42578125" style="1" customWidth="1"/>
    <col min="8" max="8" width="10" style="1" customWidth="1"/>
    <col min="9" max="9" width="10.140625" style="1" customWidth="1"/>
    <col min="10" max="12" width="11.42578125" style="1" customWidth="1"/>
    <col min="13" max="13" width="8.7109375" style="1" bestFit="1" customWidth="1"/>
    <col min="14" max="14" width="8.42578125" style="1" bestFit="1" customWidth="1"/>
    <col min="15" max="15" width="13.140625" style="1" customWidth="1"/>
    <col min="16" max="16" width="10.28515625" style="1" customWidth="1"/>
    <col min="17" max="17" width="10.5703125" style="1" customWidth="1"/>
    <col min="18" max="18" width="9.7109375" style="1" customWidth="1"/>
    <col min="19" max="19" width="14.42578125" style="1" customWidth="1"/>
    <col min="20" max="20" width="13.28515625" style="1" customWidth="1"/>
    <col min="21" max="21" width="11.42578125" style="1" customWidth="1"/>
    <col min="22" max="22" width="13.5703125" style="1" customWidth="1"/>
    <col min="23" max="253" width="11.42578125" style="1" customWidth="1"/>
    <col min="254" max="16384" width="8" style="1"/>
  </cols>
  <sheetData>
    <row r="1" spans="1:22" x14ac:dyDescent="0.2">
      <c r="A1" s="1" t="s">
        <v>2</v>
      </c>
    </row>
    <row r="2" spans="1:22" x14ac:dyDescent="0.2">
      <c r="A2" s="1" t="s">
        <v>38</v>
      </c>
      <c r="R2" s="155" t="s">
        <v>3</v>
      </c>
      <c r="S2" s="57" t="s">
        <v>4</v>
      </c>
      <c r="T2" s="2" t="s">
        <v>5</v>
      </c>
    </row>
    <row r="3" spans="1:22" x14ac:dyDescent="0.2">
      <c r="A3" s="1" t="s">
        <v>6</v>
      </c>
      <c r="R3" s="156"/>
      <c r="S3" s="3">
        <v>0.5</v>
      </c>
      <c r="T3" s="4">
        <v>0.83333333333333337</v>
      </c>
    </row>
    <row r="5" spans="1:22" ht="15.75" customHeight="1" thickBot="1" x14ac:dyDescent="0.25"/>
    <row r="6" spans="1:22" ht="12.75" customHeight="1" thickBot="1" x14ac:dyDescent="0.25">
      <c r="A6" s="157" t="s">
        <v>7</v>
      </c>
      <c r="B6" s="157" t="s">
        <v>8</v>
      </c>
      <c r="C6" s="157" t="s">
        <v>0</v>
      </c>
      <c r="D6" s="157" t="s">
        <v>1</v>
      </c>
      <c r="E6" s="158" t="s">
        <v>9</v>
      </c>
      <c r="F6" s="159" t="s">
        <v>10</v>
      </c>
      <c r="G6" s="160" t="s">
        <v>11</v>
      </c>
      <c r="H6" s="161"/>
      <c r="I6" s="161"/>
      <c r="J6" s="161"/>
      <c r="K6" s="161"/>
      <c r="L6" s="162"/>
      <c r="M6" s="163" t="s">
        <v>12</v>
      </c>
      <c r="N6" s="163"/>
      <c r="O6" s="163"/>
      <c r="P6" s="163"/>
      <c r="Q6" s="163"/>
      <c r="R6" s="163"/>
      <c r="S6" s="163"/>
      <c r="T6" s="164"/>
    </row>
    <row r="7" spans="1:22" ht="38.25" x14ac:dyDescent="0.2">
      <c r="A7" s="157"/>
      <c r="B7" s="157"/>
      <c r="C7" s="157"/>
      <c r="D7" s="157"/>
      <c r="E7" s="158"/>
      <c r="F7" s="159"/>
      <c r="G7" s="50" t="s">
        <v>0</v>
      </c>
      <c r="H7" s="51" t="s">
        <v>1</v>
      </c>
      <c r="I7" s="51" t="s">
        <v>13</v>
      </c>
      <c r="J7" s="51" t="s">
        <v>14</v>
      </c>
      <c r="K7" s="52" t="s">
        <v>15</v>
      </c>
      <c r="L7" s="53" t="s">
        <v>13</v>
      </c>
      <c r="M7" s="54" t="s">
        <v>16</v>
      </c>
      <c r="N7" s="55" t="s">
        <v>17</v>
      </c>
      <c r="O7" s="55" t="s">
        <v>18</v>
      </c>
      <c r="P7" s="56" t="s">
        <v>19</v>
      </c>
      <c r="Q7" s="55" t="s">
        <v>20</v>
      </c>
      <c r="R7" s="55" t="s">
        <v>21</v>
      </c>
      <c r="S7" s="56" t="s">
        <v>22</v>
      </c>
      <c r="T7" s="56" t="s">
        <v>23</v>
      </c>
      <c r="U7" s="5"/>
    </row>
    <row r="8" spans="1:22" x14ac:dyDescent="0.2">
      <c r="A8" s="6">
        <v>5</v>
      </c>
      <c r="B8" s="7">
        <v>42522</v>
      </c>
      <c r="C8" s="8">
        <v>0.5</v>
      </c>
      <c r="D8" s="8">
        <v>0.89583333333333337</v>
      </c>
      <c r="E8" s="9">
        <v>0.51041666666666663</v>
      </c>
      <c r="F8" s="10">
        <v>0.90416666666666667</v>
      </c>
      <c r="G8" s="11">
        <f t="shared" ref="G8:G33" si="0">IF(C8-E8&gt;0,+C8-E8,0)</f>
        <v>0</v>
      </c>
      <c r="H8" s="12">
        <f t="shared" ref="H8:H33" si="1">IF(F8-D8&gt;0,+F8-D8,0)</f>
        <v>8.3333333333333037E-3</v>
      </c>
      <c r="I8" s="12">
        <f t="shared" ref="I8:I33" si="2">SUM(G8:H8)</f>
        <v>8.3333333333333037E-3</v>
      </c>
      <c r="J8" s="12">
        <f t="shared" ref="J8:J33" si="3">IF(C8-E8&lt;0,+(+C8-E8)*-1,0)</f>
        <v>1.041666666666663E-2</v>
      </c>
      <c r="K8" s="12">
        <f t="shared" ref="K8:K33" si="4">IF(F8-D8&lt;0,+(+F8-D8)*-1,0)</f>
        <v>0</v>
      </c>
      <c r="L8" s="13">
        <f t="shared" ref="L8:L33" si="5">+J8+K8</f>
        <v>1.041666666666663E-2</v>
      </c>
      <c r="M8" s="14">
        <f t="shared" ref="M8:M33" si="6">+E8</f>
        <v>0.51041666666666663</v>
      </c>
      <c r="N8" s="14">
        <v>0.33333333333333331</v>
      </c>
      <c r="O8" s="14">
        <v>0.79166666666666663</v>
      </c>
      <c r="P8" s="60">
        <f t="shared" ref="P8:P33" si="7">+F8-O8</f>
        <v>0.11250000000000004</v>
      </c>
      <c r="Q8" s="15">
        <f t="shared" ref="Q8:Q33" si="8">+F8-E8</f>
        <v>0.39375000000000004</v>
      </c>
      <c r="R8" s="15">
        <v>0.33333333333333331</v>
      </c>
      <c r="S8" s="15">
        <f t="shared" ref="S8:S10" si="9">IF(Q8-R8&gt;0,(Q8-R8),0)</f>
        <v>6.041666666666673E-2</v>
      </c>
      <c r="T8" s="15"/>
      <c r="U8" s="16"/>
    </row>
    <row r="9" spans="1:22" x14ac:dyDescent="0.2">
      <c r="A9" s="6">
        <v>5</v>
      </c>
      <c r="B9" s="7">
        <v>42523</v>
      </c>
      <c r="C9" s="8">
        <v>0.5</v>
      </c>
      <c r="D9" s="8">
        <v>0.89583333333333337</v>
      </c>
      <c r="E9" s="9">
        <v>0.5083333333333333</v>
      </c>
      <c r="F9" s="10">
        <v>0.89722222222222225</v>
      </c>
      <c r="G9" s="11">
        <f t="shared" si="0"/>
        <v>0</v>
      </c>
      <c r="H9" s="12">
        <f t="shared" si="1"/>
        <v>1.388888888888884E-3</v>
      </c>
      <c r="I9" s="12">
        <f t="shared" si="2"/>
        <v>1.388888888888884E-3</v>
      </c>
      <c r="J9" s="12">
        <f t="shared" si="3"/>
        <v>8.3333333333333037E-3</v>
      </c>
      <c r="K9" s="12">
        <f t="shared" si="4"/>
        <v>0</v>
      </c>
      <c r="L9" s="13">
        <f t="shared" si="5"/>
        <v>8.3333333333333037E-3</v>
      </c>
      <c r="M9" s="14">
        <f t="shared" si="6"/>
        <v>0.5083333333333333</v>
      </c>
      <c r="N9" s="14">
        <v>0.33333333333333331</v>
      </c>
      <c r="O9" s="14">
        <v>0.79166666666666663</v>
      </c>
      <c r="P9" s="60">
        <f t="shared" si="7"/>
        <v>0.10555555555555562</v>
      </c>
      <c r="Q9" s="15">
        <f t="shared" si="8"/>
        <v>0.38888888888888895</v>
      </c>
      <c r="R9" s="15">
        <v>0</v>
      </c>
      <c r="S9" s="15">
        <f t="shared" si="9"/>
        <v>0.38888888888888895</v>
      </c>
      <c r="T9" s="15"/>
      <c r="U9" s="16"/>
    </row>
    <row r="10" spans="1:22" x14ac:dyDescent="0.2">
      <c r="A10" s="6">
        <v>5</v>
      </c>
      <c r="B10" s="7">
        <v>42524</v>
      </c>
      <c r="C10" s="8">
        <v>0.5</v>
      </c>
      <c r="D10" s="8">
        <v>0.89583333333333337</v>
      </c>
      <c r="E10" s="9">
        <v>0.50347222222222221</v>
      </c>
      <c r="F10" s="10">
        <v>0.89722222222222225</v>
      </c>
      <c r="G10" s="11">
        <f t="shared" si="0"/>
        <v>0</v>
      </c>
      <c r="H10" s="12">
        <f t="shared" si="1"/>
        <v>1.388888888888884E-3</v>
      </c>
      <c r="I10" s="12">
        <f t="shared" si="2"/>
        <v>1.388888888888884E-3</v>
      </c>
      <c r="J10" s="12">
        <f t="shared" si="3"/>
        <v>3.4722222222222099E-3</v>
      </c>
      <c r="K10" s="12">
        <f t="shared" si="4"/>
        <v>0</v>
      </c>
      <c r="L10" s="13">
        <f t="shared" si="5"/>
        <v>3.4722222222222099E-3</v>
      </c>
      <c r="M10" s="14">
        <f t="shared" si="6"/>
        <v>0.50347222222222221</v>
      </c>
      <c r="N10" s="14">
        <v>0.33333333333333331</v>
      </c>
      <c r="O10" s="14">
        <v>0.79166666666666663</v>
      </c>
      <c r="P10" s="60">
        <f t="shared" si="7"/>
        <v>0.10555555555555562</v>
      </c>
      <c r="Q10" s="15">
        <f t="shared" si="8"/>
        <v>0.39375000000000004</v>
      </c>
      <c r="R10" s="15">
        <v>0.33333333333333331</v>
      </c>
      <c r="S10" s="15">
        <f t="shared" si="9"/>
        <v>6.041666666666673E-2</v>
      </c>
      <c r="T10" s="15"/>
      <c r="U10" s="16"/>
    </row>
    <row r="11" spans="1:22" x14ac:dyDescent="0.2">
      <c r="A11" s="17">
        <v>5</v>
      </c>
      <c r="B11" s="18">
        <v>42525</v>
      </c>
      <c r="C11" s="19">
        <v>0.58333333333333337</v>
      </c>
      <c r="D11" s="19">
        <v>0.83333333333333337</v>
      </c>
      <c r="E11" s="20">
        <v>0.59166666666666667</v>
      </c>
      <c r="F11" s="21">
        <v>0.84444444444444444</v>
      </c>
      <c r="G11" s="22">
        <f t="shared" si="0"/>
        <v>0</v>
      </c>
      <c r="H11" s="23">
        <f t="shared" si="1"/>
        <v>1.1111111111111072E-2</v>
      </c>
      <c r="I11" s="23">
        <f t="shared" si="2"/>
        <v>1.1111111111111072E-2</v>
      </c>
      <c r="J11" s="23">
        <f t="shared" si="3"/>
        <v>8.3333333333333037E-3</v>
      </c>
      <c r="K11" s="23">
        <f t="shared" si="4"/>
        <v>0</v>
      </c>
      <c r="L11" s="24">
        <f t="shared" si="5"/>
        <v>8.3333333333333037E-3</v>
      </c>
      <c r="M11" s="25">
        <f t="shared" si="6"/>
        <v>0.59166666666666667</v>
      </c>
      <c r="N11" s="25"/>
      <c r="O11" s="25"/>
      <c r="P11" s="26"/>
      <c r="Q11" s="27">
        <f t="shared" si="8"/>
        <v>0.25277777777777777</v>
      </c>
      <c r="R11" s="27"/>
      <c r="S11" s="27"/>
      <c r="T11" s="27">
        <f>+F11-E11</f>
        <v>0.25277777777777777</v>
      </c>
      <c r="U11" s="28"/>
    </row>
    <row r="12" spans="1:22" x14ac:dyDescent="0.2">
      <c r="A12" s="6">
        <v>5</v>
      </c>
      <c r="B12" s="7">
        <v>42527</v>
      </c>
      <c r="C12" s="8">
        <v>0.5</v>
      </c>
      <c r="D12" s="8">
        <v>0.89583333333333337</v>
      </c>
      <c r="E12" s="9">
        <v>0.51111111111111118</v>
      </c>
      <c r="F12" s="10">
        <v>0.90069444444444446</v>
      </c>
      <c r="G12" s="11">
        <f t="shared" si="0"/>
        <v>0</v>
      </c>
      <c r="H12" s="12">
        <f t="shared" si="1"/>
        <v>4.8611111111110938E-3</v>
      </c>
      <c r="I12" s="12">
        <f t="shared" si="2"/>
        <v>4.8611111111110938E-3</v>
      </c>
      <c r="J12" s="12">
        <f t="shared" si="3"/>
        <v>1.1111111111111183E-2</v>
      </c>
      <c r="K12" s="12">
        <f t="shared" si="4"/>
        <v>0</v>
      </c>
      <c r="L12" s="13">
        <f t="shared" si="5"/>
        <v>1.1111111111111183E-2</v>
      </c>
      <c r="M12" s="14">
        <f t="shared" si="6"/>
        <v>0.51111111111111118</v>
      </c>
      <c r="N12" s="14">
        <v>0.33333333333333331</v>
      </c>
      <c r="O12" s="14">
        <v>0.79166666666666663</v>
      </c>
      <c r="P12" s="60">
        <f t="shared" si="7"/>
        <v>0.10902777777777783</v>
      </c>
      <c r="Q12" s="15">
        <f t="shared" si="8"/>
        <v>0.38958333333333328</v>
      </c>
      <c r="R12" s="15">
        <v>0.33333333333333331</v>
      </c>
      <c r="S12" s="15">
        <f t="shared" ref="S12:S16" si="10">IF(Q12-R12&gt;0,(Q12-R12),0)</f>
        <v>5.6249999999999967E-2</v>
      </c>
      <c r="T12" s="15"/>
      <c r="U12" s="16"/>
    </row>
    <row r="13" spans="1:22" x14ac:dyDescent="0.2">
      <c r="A13" s="6">
        <v>5</v>
      </c>
      <c r="B13" s="7">
        <v>42528</v>
      </c>
      <c r="C13" s="8">
        <v>0.5</v>
      </c>
      <c r="D13" s="8">
        <v>0.89583333333333337</v>
      </c>
      <c r="E13" s="9">
        <v>0.50486111111111109</v>
      </c>
      <c r="F13" s="10">
        <v>0.90138888888888891</v>
      </c>
      <c r="G13" s="11">
        <f t="shared" si="0"/>
        <v>0</v>
      </c>
      <c r="H13" s="12">
        <f t="shared" si="1"/>
        <v>5.5555555555555358E-3</v>
      </c>
      <c r="I13" s="12">
        <f t="shared" si="2"/>
        <v>5.5555555555555358E-3</v>
      </c>
      <c r="J13" s="12">
        <f t="shared" si="3"/>
        <v>4.8611111111110938E-3</v>
      </c>
      <c r="K13" s="12">
        <f t="shared" si="4"/>
        <v>0</v>
      </c>
      <c r="L13" s="13">
        <f t="shared" si="5"/>
        <v>4.8611111111110938E-3</v>
      </c>
      <c r="M13" s="14">
        <f t="shared" si="6"/>
        <v>0.50486111111111109</v>
      </c>
      <c r="N13" s="14">
        <v>0.33333333333333331</v>
      </c>
      <c r="O13" s="14">
        <v>0.79166666666666663</v>
      </c>
      <c r="P13" s="60">
        <f t="shared" si="7"/>
        <v>0.10972222222222228</v>
      </c>
      <c r="Q13" s="15">
        <f t="shared" si="8"/>
        <v>0.39652777777777781</v>
      </c>
      <c r="R13" s="15">
        <v>0.33333333333333331</v>
      </c>
      <c r="S13" s="15">
        <f t="shared" si="10"/>
        <v>6.3194444444444497E-2</v>
      </c>
      <c r="T13" s="15"/>
      <c r="U13" s="16"/>
    </row>
    <row r="14" spans="1:22" x14ac:dyDescent="0.2">
      <c r="A14" s="6">
        <v>5</v>
      </c>
      <c r="B14" s="7">
        <v>42529</v>
      </c>
      <c r="C14" s="8">
        <v>0.5</v>
      </c>
      <c r="D14" s="8">
        <v>0.89583333333333337</v>
      </c>
      <c r="E14" s="9">
        <v>0.50069444444444444</v>
      </c>
      <c r="F14" s="10">
        <v>0.88888888888888884</v>
      </c>
      <c r="G14" s="11">
        <f t="shared" si="0"/>
        <v>0</v>
      </c>
      <c r="H14" s="12">
        <f t="shared" si="1"/>
        <v>0</v>
      </c>
      <c r="I14" s="12">
        <f t="shared" si="2"/>
        <v>0</v>
      </c>
      <c r="J14" s="12">
        <f t="shared" si="3"/>
        <v>6.9444444444444198E-4</v>
      </c>
      <c r="K14" s="12">
        <f t="shared" si="4"/>
        <v>6.9444444444445308E-3</v>
      </c>
      <c r="L14" s="13">
        <f t="shared" si="5"/>
        <v>7.6388888888889728E-3</v>
      </c>
      <c r="M14" s="14">
        <f t="shared" si="6"/>
        <v>0.50069444444444444</v>
      </c>
      <c r="N14" s="14">
        <v>0.33333333333333331</v>
      </c>
      <c r="O14" s="14">
        <v>0.79166666666666663</v>
      </c>
      <c r="P14" s="60">
        <f t="shared" si="7"/>
        <v>9.722222222222221E-2</v>
      </c>
      <c r="Q14" s="15">
        <f t="shared" si="8"/>
        <v>0.3881944444444444</v>
      </c>
      <c r="R14" s="15">
        <v>0.33333333333333331</v>
      </c>
      <c r="S14" s="15">
        <f t="shared" si="10"/>
        <v>5.4861111111111083E-2</v>
      </c>
      <c r="T14" s="15"/>
      <c r="U14" s="16"/>
      <c r="V14" s="59"/>
    </row>
    <row r="15" spans="1:22" x14ac:dyDescent="0.2">
      <c r="A15" s="6">
        <v>5</v>
      </c>
      <c r="B15" s="7">
        <v>42530</v>
      </c>
      <c r="C15" s="8">
        <v>0.5</v>
      </c>
      <c r="D15" s="8">
        <v>0.89583333333333337</v>
      </c>
      <c r="E15" s="9">
        <v>0.50138888888888888</v>
      </c>
      <c r="F15" s="10">
        <v>0.89930555555555547</v>
      </c>
      <c r="G15" s="11">
        <f t="shared" si="0"/>
        <v>0</v>
      </c>
      <c r="H15" s="12">
        <f t="shared" si="1"/>
        <v>3.4722222222220989E-3</v>
      </c>
      <c r="I15" s="12">
        <f t="shared" si="2"/>
        <v>3.4722222222220989E-3</v>
      </c>
      <c r="J15" s="12">
        <f t="shared" si="3"/>
        <v>1.388888888888884E-3</v>
      </c>
      <c r="K15" s="12">
        <f t="shared" si="4"/>
        <v>0</v>
      </c>
      <c r="L15" s="13">
        <f t="shared" si="5"/>
        <v>1.388888888888884E-3</v>
      </c>
      <c r="M15" s="14">
        <f t="shared" si="6"/>
        <v>0.50138888888888888</v>
      </c>
      <c r="N15" s="14">
        <v>0.33333333333333331</v>
      </c>
      <c r="O15" s="14">
        <v>0.79166666666666663</v>
      </c>
      <c r="P15" s="60">
        <f t="shared" si="7"/>
        <v>0.10763888888888884</v>
      </c>
      <c r="Q15" s="15">
        <f t="shared" si="8"/>
        <v>0.39791666666666659</v>
      </c>
      <c r="R15" s="15">
        <v>0.33333333333333331</v>
      </c>
      <c r="S15" s="15">
        <f t="shared" si="10"/>
        <v>6.458333333333327E-2</v>
      </c>
      <c r="T15" s="15"/>
      <c r="U15" s="16"/>
    </row>
    <row r="16" spans="1:22" x14ac:dyDescent="0.2">
      <c r="A16" s="6">
        <v>5</v>
      </c>
      <c r="B16" s="7">
        <v>42531</v>
      </c>
      <c r="C16" s="8">
        <v>0.5</v>
      </c>
      <c r="D16" s="8">
        <v>0.89583333333333337</v>
      </c>
      <c r="E16" s="9">
        <v>0.50694444444444442</v>
      </c>
      <c r="F16" s="10">
        <v>0.90277777777777779</v>
      </c>
      <c r="G16" s="11">
        <f t="shared" si="0"/>
        <v>0</v>
      </c>
      <c r="H16" s="12">
        <f t="shared" si="1"/>
        <v>6.9444444444444198E-3</v>
      </c>
      <c r="I16" s="12">
        <f t="shared" si="2"/>
        <v>6.9444444444444198E-3</v>
      </c>
      <c r="J16" s="12">
        <f t="shared" si="3"/>
        <v>6.9444444444444198E-3</v>
      </c>
      <c r="K16" s="12">
        <f t="shared" si="4"/>
        <v>0</v>
      </c>
      <c r="L16" s="13">
        <f t="shared" si="5"/>
        <v>6.9444444444444198E-3</v>
      </c>
      <c r="M16" s="14">
        <f t="shared" si="6"/>
        <v>0.50694444444444442</v>
      </c>
      <c r="N16" s="14">
        <v>0.33333333333333331</v>
      </c>
      <c r="O16" s="14">
        <v>0.79166666666666663</v>
      </c>
      <c r="P16" s="60">
        <f t="shared" si="7"/>
        <v>0.11111111111111116</v>
      </c>
      <c r="Q16" s="15">
        <f t="shared" si="8"/>
        <v>0.39583333333333337</v>
      </c>
      <c r="R16" s="15">
        <v>0.33333333333333331</v>
      </c>
      <c r="S16" s="15">
        <f t="shared" si="10"/>
        <v>6.2500000000000056E-2</v>
      </c>
      <c r="T16" s="15"/>
      <c r="U16" s="16"/>
    </row>
    <row r="17" spans="1:21" x14ac:dyDescent="0.2">
      <c r="A17" s="17">
        <v>5</v>
      </c>
      <c r="B17" s="18">
        <v>42532</v>
      </c>
      <c r="C17" s="19">
        <v>0.58333333333333337</v>
      </c>
      <c r="D17" s="19">
        <v>0.83333333333333337</v>
      </c>
      <c r="E17" s="20">
        <v>0.58819444444444446</v>
      </c>
      <c r="F17" s="21">
        <v>0.83819444444444446</v>
      </c>
      <c r="G17" s="22">
        <f t="shared" si="0"/>
        <v>0</v>
      </c>
      <c r="H17" s="23">
        <f t="shared" si="1"/>
        <v>4.8611111111110938E-3</v>
      </c>
      <c r="I17" s="23">
        <f t="shared" si="2"/>
        <v>4.8611111111110938E-3</v>
      </c>
      <c r="J17" s="23">
        <f t="shared" si="3"/>
        <v>4.8611111111110938E-3</v>
      </c>
      <c r="K17" s="23">
        <f t="shared" si="4"/>
        <v>0</v>
      </c>
      <c r="L17" s="24">
        <f t="shared" si="5"/>
        <v>4.8611111111110938E-3</v>
      </c>
      <c r="M17" s="25">
        <f t="shared" si="6"/>
        <v>0.58819444444444446</v>
      </c>
      <c r="N17" s="25"/>
      <c r="O17" s="25"/>
      <c r="P17" s="26"/>
      <c r="Q17" s="27">
        <f t="shared" si="8"/>
        <v>0.25</v>
      </c>
      <c r="R17" s="27"/>
      <c r="S17" s="27"/>
      <c r="T17" s="27">
        <f>+F17-E17</f>
        <v>0.25</v>
      </c>
      <c r="U17" s="28"/>
    </row>
    <row r="18" spans="1:21" x14ac:dyDescent="0.2">
      <c r="A18" s="6">
        <v>5</v>
      </c>
      <c r="B18" s="7">
        <v>42534</v>
      </c>
      <c r="C18" s="8">
        <v>0.5</v>
      </c>
      <c r="D18" s="8">
        <v>0.89583333333333337</v>
      </c>
      <c r="E18" s="9">
        <v>0.5</v>
      </c>
      <c r="F18" s="10">
        <v>0.8979166666666667</v>
      </c>
      <c r="G18" s="11">
        <f t="shared" si="0"/>
        <v>0</v>
      </c>
      <c r="H18" s="12">
        <f t="shared" si="1"/>
        <v>2.0833333333333259E-3</v>
      </c>
      <c r="I18" s="12">
        <f t="shared" si="2"/>
        <v>2.0833333333333259E-3</v>
      </c>
      <c r="J18" s="12">
        <f t="shared" si="3"/>
        <v>0</v>
      </c>
      <c r="K18" s="12">
        <f t="shared" si="4"/>
        <v>0</v>
      </c>
      <c r="L18" s="13">
        <f t="shared" si="5"/>
        <v>0</v>
      </c>
      <c r="M18" s="14">
        <f t="shared" si="6"/>
        <v>0.5</v>
      </c>
      <c r="N18" s="14">
        <v>0.33333333333333331</v>
      </c>
      <c r="O18" s="14">
        <v>0.79166666666666663</v>
      </c>
      <c r="P18" s="60">
        <f t="shared" si="7"/>
        <v>0.10625000000000007</v>
      </c>
      <c r="Q18" s="15">
        <f t="shared" si="8"/>
        <v>0.3979166666666667</v>
      </c>
      <c r="R18" s="15">
        <v>0.33333333333333331</v>
      </c>
      <c r="S18" s="15">
        <f t="shared" ref="S18:S22" si="11">IF(Q18-R18&gt;0,(Q18-R18),0)</f>
        <v>6.4583333333333381E-2</v>
      </c>
      <c r="T18" s="15"/>
      <c r="U18" s="16"/>
    </row>
    <row r="19" spans="1:21" x14ac:dyDescent="0.2">
      <c r="A19" s="6">
        <v>5</v>
      </c>
      <c r="B19" s="7">
        <v>42535</v>
      </c>
      <c r="C19" s="8">
        <v>0.5</v>
      </c>
      <c r="D19" s="8">
        <v>0.89583333333333337</v>
      </c>
      <c r="E19" s="9">
        <v>0.50416666666666665</v>
      </c>
      <c r="F19" s="10">
        <v>0.90486111111111101</v>
      </c>
      <c r="G19" s="11">
        <f t="shared" si="0"/>
        <v>0</v>
      </c>
      <c r="H19" s="12">
        <f t="shared" si="1"/>
        <v>9.0277777777776347E-3</v>
      </c>
      <c r="I19" s="12">
        <f t="shared" si="2"/>
        <v>9.0277777777776347E-3</v>
      </c>
      <c r="J19" s="12">
        <f t="shared" si="3"/>
        <v>4.1666666666666519E-3</v>
      </c>
      <c r="K19" s="12">
        <f t="shared" si="4"/>
        <v>0</v>
      </c>
      <c r="L19" s="13">
        <f t="shared" si="5"/>
        <v>4.1666666666666519E-3</v>
      </c>
      <c r="M19" s="14">
        <f t="shared" si="6"/>
        <v>0.50416666666666665</v>
      </c>
      <c r="N19" s="14">
        <v>0.33333333333333331</v>
      </c>
      <c r="O19" s="14">
        <v>0.79166666666666663</v>
      </c>
      <c r="P19" s="60">
        <f t="shared" si="7"/>
        <v>0.11319444444444438</v>
      </c>
      <c r="Q19" s="15">
        <f t="shared" si="8"/>
        <v>0.40069444444444435</v>
      </c>
      <c r="R19" s="15">
        <v>0.33333333333333331</v>
      </c>
      <c r="S19" s="15">
        <f t="shared" si="11"/>
        <v>6.7361111111111038E-2</v>
      </c>
      <c r="T19" s="15"/>
      <c r="U19" s="16"/>
    </row>
    <row r="20" spans="1:21" x14ac:dyDescent="0.2">
      <c r="A20" s="6">
        <v>5</v>
      </c>
      <c r="B20" s="7">
        <v>42536</v>
      </c>
      <c r="C20" s="8">
        <v>0.5</v>
      </c>
      <c r="D20" s="8">
        <v>0.89583333333333337</v>
      </c>
      <c r="E20" s="9">
        <v>0.50208333333333333</v>
      </c>
      <c r="F20" s="10">
        <v>0.90902777777777777</v>
      </c>
      <c r="G20" s="11">
        <f t="shared" si="0"/>
        <v>0</v>
      </c>
      <c r="H20" s="12">
        <f t="shared" si="1"/>
        <v>1.3194444444444398E-2</v>
      </c>
      <c r="I20" s="12">
        <f t="shared" si="2"/>
        <v>1.3194444444444398E-2</v>
      </c>
      <c r="J20" s="12">
        <f t="shared" si="3"/>
        <v>2.0833333333333259E-3</v>
      </c>
      <c r="K20" s="12">
        <f t="shared" si="4"/>
        <v>0</v>
      </c>
      <c r="L20" s="13">
        <f t="shared" si="5"/>
        <v>2.0833333333333259E-3</v>
      </c>
      <c r="M20" s="14">
        <f t="shared" si="6"/>
        <v>0.50208333333333333</v>
      </c>
      <c r="N20" s="14">
        <v>0.33333333333333331</v>
      </c>
      <c r="O20" s="14">
        <v>0.79166666666666663</v>
      </c>
      <c r="P20" s="60">
        <f t="shared" si="7"/>
        <v>0.11736111111111114</v>
      </c>
      <c r="Q20" s="15">
        <f t="shared" si="8"/>
        <v>0.40694444444444444</v>
      </c>
      <c r="R20" s="15">
        <v>0.33333333333333331</v>
      </c>
      <c r="S20" s="15">
        <f t="shared" si="11"/>
        <v>7.3611111111111127E-2</v>
      </c>
      <c r="T20" s="15"/>
      <c r="U20" s="16"/>
    </row>
    <row r="21" spans="1:21" x14ac:dyDescent="0.2">
      <c r="A21" s="6">
        <v>5</v>
      </c>
      <c r="B21" s="7">
        <v>42537</v>
      </c>
      <c r="C21" s="8">
        <v>0.5</v>
      </c>
      <c r="D21" s="8">
        <v>0.89583333333333337</v>
      </c>
      <c r="E21" s="9">
        <v>0.48819444444444443</v>
      </c>
      <c r="F21" s="10">
        <v>0.89722222222222225</v>
      </c>
      <c r="G21" s="11">
        <f t="shared" si="0"/>
        <v>1.1805555555555569E-2</v>
      </c>
      <c r="H21" s="12">
        <f t="shared" si="1"/>
        <v>1.388888888888884E-3</v>
      </c>
      <c r="I21" s="12">
        <f t="shared" si="2"/>
        <v>1.3194444444444453E-2</v>
      </c>
      <c r="J21" s="12">
        <f t="shared" si="3"/>
        <v>0</v>
      </c>
      <c r="K21" s="12">
        <f t="shared" si="4"/>
        <v>0</v>
      </c>
      <c r="L21" s="13">
        <f t="shared" si="5"/>
        <v>0</v>
      </c>
      <c r="M21" s="14">
        <f t="shared" si="6"/>
        <v>0.48819444444444443</v>
      </c>
      <c r="N21" s="14">
        <v>0.33333333333333331</v>
      </c>
      <c r="O21" s="14">
        <v>0.79166666666666663</v>
      </c>
      <c r="P21" s="60">
        <f t="shared" si="7"/>
        <v>0.10555555555555562</v>
      </c>
      <c r="Q21" s="15">
        <f t="shared" si="8"/>
        <v>0.40902777777777782</v>
      </c>
      <c r="R21" s="15">
        <v>0.33333333333333331</v>
      </c>
      <c r="S21" s="15">
        <f t="shared" si="11"/>
        <v>7.5694444444444509E-2</v>
      </c>
      <c r="T21" s="15"/>
      <c r="U21" s="16"/>
    </row>
    <row r="22" spans="1:21" x14ac:dyDescent="0.2">
      <c r="A22" s="6">
        <v>5</v>
      </c>
      <c r="B22" s="7">
        <v>42538</v>
      </c>
      <c r="C22" s="8">
        <v>0.5</v>
      </c>
      <c r="D22" s="8">
        <v>0.89583333333333337</v>
      </c>
      <c r="E22" s="9">
        <v>0.50138888888888888</v>
      </c>
      <c r="F22" s="10">
        <v>0.89930555555555547</v>
      </c>
      <c r="G22" s="11">
        <f t="shared" si="0"/>
        <v>0</v>
      </c>
      <c r="H22" s="12">
        <f t="shared" si="1"/>
        <v>3.4722222222220989E-3</v>
      </c>
      <c r="I22" s="12">
        <f t="shared" si="2"/>
        <v>3.4722222222220989E-3</v>
      </c>
      <c r="J22" s="12">
        <f t="shared" si="3"/>
        <v>1.388888888888884E-3</v>
      </c>
      <c r="K22" s="12">
        <f t="shared" si="4"/>
        <v>0</v>
      </c>
      <c r="L22" s="13">
        <f t="shared" si="5"/>
        <v>1.388888888888884E-3</v>
      </c>
      <c r="M22" s="14">
        <f t="shared" si="6"/>
        <v>0.50138888888888888</v>
      </c>
      <c r="N22" s="14">
        <v>0.33333333333333331</v>
      </c>
      <c r="O22" s="14">
        <v>0.79166666666666663</v>
      </c>
      <c r="P22" s="60">
        <f t="shared" si="7"/>
        <v>0.10763888888888884</v>
      </c>
      <c r="Q22" s="15">
        <f t="shared" si="8"/>
        <v>0.39791666666666659</v>
      </c>
      <c r="R22" s="15">
        <v>0.33333333333333331</v>
      </c>
      <c r="S22" s="15">
        <f t="shared" si="11"/>
        <v>6.458333333333327E-2</v>
      </c>
      <c r="T22" s="15"/>
      <c r="U22" s="16"/>
    </row>
    <row r="23" spans="1:21" x14ac:dyDescent="0.2">
      <c r="A23" s="17">
        <v>5</v>
      </c>
      <c r="B23" s="18">
        <v>42539</v>
      </c>
      <c r="C23" s="19">
        <v>0.58333333333333337</v>
      </c>
      <c r="D23" s="19">
        <v>0.83333333333333337</v>
      </c>
      <c r="E23" s="20">
        <v>0.57708333333333328</v>
      </c>
      <c r="F23" s="21">
        <v>0.8340277777777777</v>
      </c>
      <c r="G23" s="22">
        <f t="shared" si="0"/>
        <v>6.2500000000000888E-3</v>
      </c>
      <c r="H23" s="23">
        <f t="shared" si="1"/>
        <v>6.9444444444433095E-4</v>
      </c>
      <c r="I23" s="23">
        <f t="shared" si="2"/>
        <v>6.9444444444444198E-3</v>
      </c>
      <c r="J23" s="23">
        <f t="shared" si="3"/>
        <v>0</v>
      </c>
      <c r="K23" s="23">
        <f t="shared" si="4"/>
        <v>0</v>
      </c>
      <c r="L23" s="24">
        <f t="shared" si="5"/>
        <v>0</v>
      </c>
      <c r="M23" s="25">
        <f t="shared" si="6"/>
        <v>0.57708333333333328</v>
      </c>
      <c r="N23" s="25"/>
      <c r="O23" s="25"/>
      <c r="P23" s="26"/>
      <c r="Q23" s="27">
        <f t="shared" si="8"/>
        <v>0.25694444444444442</v>
      </c>
      <c r="R23" s="27"/>
      <c r="S23" s="27"/>
      <c r="T23" s="27">
        <f>+F23-E23</f>
        <v>0.25694444444444442</v>
      </c>
      <c r="U23" s="28"/>
    </row>
    <row r="24" spans="1:21" x14ac:dyDescent="0.2">
      <c r="A24" s="6">
        <v>5</v>
      </c>
      <c r="B24" s="7">
        <v>42541</v>
      </c>
      <c r="C24" s="8">
        <v>0.5</v>
      </c>
      <c r="D24" s="8">
        <v>0.89583333333333337</v>
      </c>
      <c r="E24" s="9">
        <v>0.50138888888888888</v>
      </c>
      <c r="F24" s="10">
        <v>0.89930555555555547</v>
      </c>
      <c r="G24" s="11">
        <f t="shared" si="0"/>
        <v>0</v>
      </c>
      <c r="H24" s="12">
        <f t="shared" si="1"/>
        <v>3.4722222222220989E-3</v>
      </c>
      <c r="I24" s="12">
        <f t="shared" si="2"/>
        <v>3.4722222222220989E-3</v>
      </c>
      <c r="J24" s="12">
        <f t="shared" si="3"/>
        <v>1.388888888888884E-3</v>
      </c>
      <c r="K24" s="12">
        <f t="shared" si="4"/>
        <v>0</v>
      </c>
      <c r="L24" s="13">
        <f t="shared" si="5"/>
        <v>1.388888888888884E-3</v>
      </c>
      <c r="M24" s="14">
        <f t="shared" si="6"/>
        <v>0.50138888888888888</v>
      </c>
      <c r="N24" s="14">
        <v>0.33333333333333331</v>
      </c>
      <c r="O24" s="14">
        <v>0.79166666666666663</v>
      </c>
      <c r="P24" s="60">
        <f t="shared" si="7"/>
        <v>0.10763888888888884</v>
      </c>
      <c r="Q24" s="15">
        <f t="shared" si="8"/>
        <v>0.39791666666666659</v>
      </c>
      <c r="R24" s="15">
        <v>0.33333333333333331</v>
      </c>
      <c r="S24" s="15">
        <f t="shared" ref="S24:S28" si="12">IF(Q24-R24&gt;0,(Q24-R24),0)</f>
        <v>6.458333333333327E-2</v>
      </c>
      <c r="T24" s="15"/>
      <c r="U24" s="16"/>
    </row>
    <row r="25" spans="1:21" x14ac:dyDescent="0.2">
      <c r="A25" s="6">
        <v>5</v>
      </c>
      <c r="B25" s="7">
        <v>42542</v>
      </c>
      <c r="C25" s="8">
        <v>0.5</v>
      </c>
      <c r="D25" s="8">
        <v>0.89583333333333337</v>
      </c>
      <c r="E25" s="9">
        <v>0.5083333333333333</v>
      </c>
      <c r="F25" s="10">
        <v>0.90486111111111101</v>
      </c>
      <c r="G25" s="11">
        <f t="shared" si="0"/>
        <v>0</v>
      </c>
      <c r="H25" s="12">
        <f t="shared" si="1"/>
        <v>9.0277777777776347E-3</v>
      </c>
      <c r="I25" s="12">
        <f t="shared" si="2"/>
        <v>9.0277777777776347E-3</v>
      </c>
      <c r="J25" s="12">
        <f t="shared" si="3"/>
        <v>8.3333333333333037E-3</v>
      </c>
      <c r="K25" s="12">
        <f t="shared" si="4"/>
        <v>0</v>
      </c>
      <c r="L25" s="13">
        <f t="shared" si="5"/>
        <v>8.3333333333333037E-3</v>
      </c>
      <c r="M25" s="14">
        <f t="shared" si="6"/>
        <v>0.5083333333333333</v>
      </c>
      <c r="N25" s="14">
        <v>0.33333333333333331</v>
      </c>
      <c r="O25" s="14">
        <v>0.79166666666666663</v>
      </c>
      <c r="P25" s="60">
        <f t="shared" si="7"/>
        <v>0.11319444444444438</v>
      </c>
      <c r="Q25" s="15">
        <f t="shared" si="8"/>
        <v>0.3965277777777777</v>
      </c>
      <c r="R25" s="15">
        <v>0.33333333333333331</v>
      </c>
      <c r="S25" s="15">
        <f t="shared" si="12"/>
        <v>6.3194444444444386E-2</v>
      </c>
      <c r="T25" s="15"/>
      <c r="U25" s="16"/>
    </row>
    <row r="26" spans="1:21" x14ac:dyDescent="0.2">
      <c r="A26" s="6">
        <v>5</v>
      </c>
      <c r="B26" s="7">
        <v>42543</v>
      </c>
      <c r="C26" s="8">
        <v>0.5</v>
      </c>
      <c r="D26" s="8">
        <v>0.89583333333333337</v>
      </c>
      <c r="E26" s="9">
        <v>0.50694444444444442</v>
      </c>
      <c r="F26" s="10">
        <v>0.90347222222222223</v>
      </c>
      <c r="G26" s="11">
        <f t="shared" si="0"/>
        <v>0</v>
      </c>
      <c r="H26" s="12">
        <f t="shared" si="1"/>
        <v>7.6388888888888618E-3</v>
      </c>
      <c r="I26" s="12">
        <f t="shared" si="2"/>
        <v>7.6388888888888618E-3</v>
      </c>
      <c r="J26" s="12">
        <f t="shared" si="3"/>
        <v>6.9444444444444198E-3</v>
      </c>
      <c r="K26" s="12">
        <f t="shared" si="4"/>
        <v>0</v>
      </c>
      <c r="L26" s="13">
        <f t="shared" si="5"/>
        <v>6.9444444444444198E-3</v>
      </c>
      <c r="M26" s="14">
        <f t="shared" si="6"/>
        <v>0.50694444444444442</v>
      </c>
      <c r="N26" s="14">
        <v>0.33333333333333331</v>
      </c>
      <c r="O26" s="14">
        <v>0.79166666666666663</v>
      </c>
      <c r="P26" s="60">
        <f t="shared" si="7"/>
        <v>0.1118055555555556</v>
      </c>
      <c r="Q26" s="15">
        <f t="shared" si="8"/>
        <v>0.39652777777777781</v>
      </c>
      <c r="R26" s="15">
        <v>0.33333333333333331</v>
      </c>
      <c r="S26" s="15">
        <f t="shared" si="12"/>
        <v>6.3194444444444497E-2</v>
      </c>
      <c r="T26" s="15"/>
      <c r="U26" s="16"/>
    </row>
    <row r="27" spans="1:21" x14ac:dyDescent="0.2">
      <c r="A27" s="6">
        <v>5</v>
      </c>
      <c r="B27" s="7">
        <v>42544</v>
      </c>
      <c r="C27" s="8">
        <v>0.5</v>
      </c>
      <c r="D27" s="8">
        <v>0.89583333333333337</v>
      </c>
      <c r="E27" s="9">
        <v>0.50416666666666665</v>
      </c>
      <c r="F27" s="10">
        <v>0.89583333333333337</v>
      </c>
      <c r="G27" s="11">
        <f t="shared" si="0"/>
        <v>0</v>
      </c>
      <c r="H27" s="12">
        <f t="shared" si="1"/>
        <v>0</v>
      </c>
      <c r="I27" s="12">
        <f t="shared" si="2"/>
        <v>0</v>
      </c>
      <c r="J27" s="12">
        <f t="shared" si="3"/>
        <v>4.1666666666666519E-3</v>
      </c>
      <c r="K27" s="12">
        <f t="shared" si="4"/>
        <v>0</v>
      </c>
      <c r="L27" s="13">
        <f t="shared" si="5"/>
        <v>4.1666666666666519E-3</v>
      </c>
      <c r="M27" s="14">
        <f t="shared" si="6"/>
        <v>0.50416666666666665</v>
      </c>
      <c r="N27" s="14">
        <v>0.33333333333333331</v>
      </c>
      <c r="O27" s="14">
        <v>0.79166666666666663</v>
      </c>
      <c r="P27" s="60">
        <f t="shared" si="7"/>
        <v>0.10416666666666674</v>
      </c>
      <c r="Q27" s="15">
        <f t="shared" si="8"/>
        <v>0.39166666666666672</v>
      </c>
      <c r="R27" s="15">
        <v>0.33333333333333331</v>
      </c>
      <c r="S27" s="15">
        <f t="shared" si="12"/>
        <v>5.8333333333333404E-2</v>
      </c>
      <c r="T27" s="15"/>
      <c r="U27" s="16"/>
    </row>
    <row r="28" spans="1:21" x14ac:dyDescent="0.2">
      <c r="A28" s="6">
        <v>5</v>
      </c>
      <c r="B28" s="7">
        <v>42545</v>
      </c>
      <c r="C28" s="8">
        <v>0.5</v>
      </c>
      <c r="D28" s="8">
        <v>0.89583333333333337</v>
      </c>
      <c r="E28" s="9">
        <v>0.4993055555555555</v>
      </c>
      <c r="F28" s="10">
        <v>0.89861111111111114</v>
      </c>
      <c r="G28" s="11">
        <f t="shared" si="0"/>
        <v>6.9444444444449749E-4</v>
      </c>
      <c r="H28" s="12">
        <f t="shared" si="1"/>
        <v>2.7777777777777679E-3</v>
      </c>
      <c r="I28" s="12">
        <f t="shared" si="2"/>
        <v>3.4722222222222654E-3</v>
      </c>
      <c r="J28" s="12">
        <f t="shared" si="3"/>
        <v>0</v>
      </c>
      <c r="K28" s="12">
        <f t="shared" si="4"/>
        <v>0</v>
      </c>
      <c r="L28" s="13">
        <f t="shared" si="5"/>
        <v>0</v>
      </c>
      <c r="M28" s="14">
        <f t="shared" si="6"/>
        <v>0.4993055555555555</v>
      </c>
      <c r="N28" s="14">
        <v>0.33333333333333331</v>
      </c>
      <c r="O28" s="14">
        <v>0.79166666666666663</v>
      </c>
      <c r="P28" s="60">
        <f t="shared" si="7"/>
        <v>0.10694444444444451</v>
      </c>
      <c r="Q28" s="15">
        <f t="shared" si="8"/>
        <v>0.39930555555555564</v>
      </c>
      <c r="R28" s="15">
        <v>0.33333333333333331</v>
      </c>
      <c r="S28" s="15">
        <f t="shared" si="12"/>
        <v>6.5972222222222321E-2</v>
      </c>
      <c r="T28" s="15"/>
      <c r="U28" s="16"/>
    </row>
    <row r="29" spans="1:21" x14ac:dyDescent="0.2">
      <c r="A29" s="17">
        <v>5</v>
      </c>
      <c r="B29" s="18">
        <v>42546</v>
      </c>
      <c r="C29" s="19">
        <v>0.58333333333333337</v>
      </c>
      <c r="D29" s="19">
        <v>0.83333333333333337</v>
      </c>
      <c r="E29" s="20">
        <v>0.58402777777777781</v>
      </c>
      <c r="F29" s="21">
        <v>0.84027777777777779</v>
      </c>
      <c r="G29" s="22">
        <f t="shared" si="0"/>
        <v>0</v>
      </c>
      <c r="H29" s="23">
        <f t="shared" si="1"/>
        <v>6.9444444444444198E-3</v>
      </c>
      <c r="I29" s="23">
        <f t="shared" si="2"/>
        <v>6.9444444444444198E-3</v>
      </c>
      <c r="J29" s="23">
        <f t="shared" si="3"/>
        <v>6.9444444444444198E-4</v>
      </c>
      <c r="K29" s="23">
        <f t="shared" si="4"/>
        <v>0</v>
      </c>
      <c r="L29" s="24">
        <f t="shared" si="5"/>
        <v>6.9444444444444198E-4</v>
      </c>
      <c r="M29" s="25">
        <f t="shared" si="6"/>
        <v>0.58402777777777781</v>
      </c>
      <c r="N29" s="25"/>
      <c r="O29" s="25"/>
      <c r="P29" s="26"/>
      <c r="Q29" s="27">
        <f t="shared" si="8"/>
        <v>0.25624999999999998</v>
      </c>
      <c r="R29" s="27"/>
      <c r="S29" s="27"/>
      <c r="T29" s="27">
        <f>+F29-E29</f>
        <v>0.25624999999999998</v>
      </c>
      <c r="U29" s="28"/>
    </row>
    <row r="30" spans="1:21" x14ac:dyDescent="0.2">
      <c r="A30" s="6">
        <v>5</v>
      </c>
      <c r="B30" s="7">
        <v>42548</v>
      </c>
      <c r="C30" s="8">
        <v>0.5</v>
      </c>
      <c r="D30" s="8">
        <v>0.89583333333333337</v>
      </c>
      <c r="E30" s="9">
        <v>0.50555555555555554</v>
      </c>
      <c r="F30" s="10">
        <v>0.89374999999999993</v>
      </c>
      <c r="G30" s="11">
        <f t="shared" si="0"/>
        <v>0</v>
      </c>
      <c r="H30" s="12">
        <f t="shared" si="1"/>
        <v>0</v>
      </c>
      <c r="I30" s="12">
        <f t="shared" si="2"/>
        <v>0</v>
      </c>
      <c r="J30" s="12">
        <f t="shared" si="3"/>
        <v>5.5555555555555358E-3</v>
      </c>
      <c r="K30" s="12">
        <f t="shared" si="4"/>
        <v>2.083333333333437E-3</v>
      </c>
      <c r="L30" s="13">
        <f t="shared" si="5"/>
        <v>7.6388888888889728E-3</v>
      </c>
      <c r="M30" s="14">
        <f t="shared" si="6"/>
        <v>0.50555555555555554</v>
      </c>
      <c r="N30" s="14">
        <v>0.33333333333333331</v>
      </c>
      <c r="O30" s="14">
        <v>0.79166666666666663</v>
      </c>
      <c r="P30" s="60">
        <f t="shared" si="7"/>
        <v>0.1020833333333333</v>
      </c>
      <c r="Q30" s="15">
        <f t="shared" si="8"/>
        <v>0.3881944444444444</v>
      </c>
      <c r="R30" s="15">
        <v>0.33333333333333331</v>
      </c>
      <c r="S30" s="15">
        <f t="shared" ref="S30:S33" si="13">IF(Q30-R30&gt;0,(Q30-R30),0)</f>
        <v>5.4861111111111083E-2</v>
      </c>
      <c r="T30" s="15"/>
      <c r="U30" s="16"/>
    </row>
    <row r="31" spans="1:21" x14ac:dyDescent="0.2">
      <c r="A31" s="6">
        <v>5</v>
      </c>
      <c r="B31" s="7">
        <v>42549</v>
      </c>
      <c r="C31" s="8">
        <v>0.5</v>
      </c>
      <c r="D31" s="8">
        <v>0.89583333333333337</v>
      </c>
      <c r="E31" s="9">
        <v>0.50555555555555554</v>
      </c>
      <c r="F31" s="10">
        <v>0.90069444444444446</v>
      </c>
      <c r="G31" s="11">
        <f t="shared" si="0"/>
        <v>0</v>
      </c>
      <c r="H31" s="12">
        <f t="shared" si="1"/>
        <v>4.8611111111110938E-3</v>
      </c>
      <c r="I31" s="12">
        <f t="shared" si="2"/>
        <v>4.8611111111110938E-3</v>
      </c>
      <c r="J31" s="12">
        <f t="shared" si="3"/>
        <v>5.5555555555555358E-3</v>
      </c>
      <c r="K31" s="12">
        <f t="shared" si="4"/>
        <v>0</v>
      </c>
      <c r="L31" s="13">
        <f t="shared" si="5"/>
        <v>5.5555555555555358E-3</v>
      </c>
      <c r="M31" s="14">
        <f t="shared" si="6"/>
        <v>0.50555555555555554</v>
      </c>
      <c r="N31" s="14">
        <v>0.33333333333333331</v>
      </c>
      <c r="O31" s="14">
        <v>0.79166666666666663</v>
      </c>
      <c r="P31" s="60">
        <f t="shared" si="7"/>
        <v>0.10902777777777783</v>
      </c>
      <c r="Q31" s="15">
        <f t="shared" si="8"/>
        <v>0.39513888888888893</v>
      </c>
      <c r="R31" s="15">
        <v>0.33333333333333331</v>
      </c>
      <c r="S31" s="15">
        <f t="shared" si="13"/>
        <v>6.1805555555555614E-2</v>
      </c>
      <c r="T31" s="15"/>
      <c r="U31" s="16"/>
    </row>
    <row r="32" spans="1:21" x14ac:dyDescent="0.2">
      <c r="A32" s="6">
        <v>5</v>
      </c>
      <c r="B32" s="7">
        <v>42550</v>
      </c>
      <c r="C32" s="8">
        <v>0.5</v>
      </c>
      <c r="D32" s="8">
        <v>0.89583333333333337</v>
      </c>
      <c r="E32" s="9">
        <v>0.50069444444444444</v>
      </c>
      <c r="F32" s="10">
        <v>0.89722222222222225</v>
      </c>
      <c r="G32" s="11">
        <f t="shared" si="0"/>
        <v>0</v>
      </c>
      <c r="H32" s="12">
        <f t="shared" si="1"/>
        <v>1.388888888888884E-3</v>
      </c>
      <c r="I32" s="12">
        <f t="shared" si="2"/>
        <v>1.388888888888884E-3</v>
      </c>
      <c r="J32" s="12">
        <f t="shared" si="3"/>
        <v>6.9444444444444198E-4</v>
      </c>
      <c r="K32" s="12">
        <f t="shared" si="4"/>
        <v>0</v>
      </c>
      <c r="L32" s="13">
        <f t="shared" si="5"/>
        <v>6.9444444444444198E-4</v>
      </c>
      <c r="M32" s="14">
        <f t="shared" si="6"/>
        <v>0.50069444444444444</v>
      </c>
      <c r="N32" s="14">
        <v>0.33333333333333331</v>
      </c>
      <c r="O32" s="14">
        <v>0.79166666666666663</v>
      </c>
      <c r="P32" s="60">
        <f t="shared" si="7"/>
        <v>0.10555555555555562</v>
      </c>
      <c r="Q32" s="15">
        <f t="shared" si="8"/>
        <v>0.39652777777777781</v>
      </c>
      <c r="R32" s="15">
        <v>0.33333333333333331</v>
      </c>
      <c r="S32" s="15">
        <f t="shared" si="13"/>
        <v>6.3194444444444497E-2</v>
      </c>
      <c r="T32" s="15"/>
      <c r="U32" s="16"/>
    </row>
    <row r="33" spans="1:22" x14ac:dyDescent="0.2">
      <c r="A33" s="6">
        <v>5</v>
      </c>
      <c r="B33" s="7">
        <v>42551</v>
      </c>
      <c r="C33" s="8">
        <v>0.5</v>
      </c>
      <c r="D33" s="8">
        <v>0.89583333333333337</v>
      </c>
      <c r="E33" s="9">
        <v>0.50208333333333333</v>
      </c>
      <c r="F33" s="10">
        <v>0.89583333333333337</v>
      </c>
      <c r="G33" s="11">
        <f t="shared" si="0"/>
        <v>0</v>
      </c>
      <c r="H33" s="12">
        <f t="shared" si="1"/>
        <v>0</v>
      </c>
      <c r="I33" s="12">
        <f t="shared" si="2"/>
        <v>0</v>
      </c>
      <c r="J33" s="12">
        <f t="shared" si="3"/>
        <v>2.0833333333333259E-3</v>
      </c>
      <c r="K33" s="12">
        <f t="shared" si="4"/>
        <v>0</v>
      </c>
      <c r="L33" s="13">
        <f t="shared" si="5"/>
        <v>2.0833333333333259E-3</v>
      </c>
      <c r="M33" s="14">
        <f t="shared" si="6"/>
        <v>0.50208333333333333</v>
      </c>
      <c r="N33" s="14">
        <v>0.33333333333333331</v>
      </c>
      <c r="O33" s="14">
        <v>0.79166666666666663</v>
      </c>
      <c r="P33" s="60">
        <f t="shared" si="7"/>
        <v>0.10416666666666674</v>
      </c>
      <c r="Q33" s="15">
        <f t="shared" si="8"/>
        <v>0.39375000000000004</v>
      </c>
      <c r="R33" s="15">
        <v>0.33333333333333331</v>
      </c>
      <c r="S33" s="15">
        <f t="shared" si="13"/>
        <v>6.041666666666673E-2</v>
      </c>
      <c r="T33" s="15"/>
      <c r="U33" s="16"/>
    </row>
    <row r="34" spans="1:22" x14ac:dyDescent="0.2">
      <c r="P34" s="29">
        <f>SUM(P8:P33)</f>
        <v>2.3729166666666677</v>
      </c>
      <c r="S34" s="29">
        <f t="shared" ref="S34:T34" si="14">SUM(S8:S33)</f>
        <v>1.7125000000000001</v>
      </c>
      <c r="T34" s="29">
        <f t="shared" si="14"/>
        <v>1.0159722222222221</v>
      </c>
    </row>
    <row r="35" spans="1:22" ht="13.5" thickBot="1" x14ac:dyDescent="0.25">
      <c r="A35" s="30"/>
    </row>
    <row r="36" spans="1:22" ht="45" x14ac:dyDescent="0.2">
      <c r="G36" s="153" t="s">
        <v>24</v>
      </c>
      <c r="H36" s="153"/>
      <c r="I36" s="31" t="s">
        <v>25</v>
      </c>
      <c r="J36" s="31" t="s">
        <v>26</v>
      </c>
      <c r="K36" s="32" t="s">
        <v>27</v>
      </c>
      <c r="L36" s="31" t="s">
        <v>28</v>
      </c>
      <c r="M36" s="33" t="s">
        <v>29</v>
      </c>
      <c r="N36" s="34" t="s">
        <v>30</v>
      </c>
      <c r="O36" s="35" t="s">
        <v>31</v>
      </c>
      <c r="P36" s="36" t="s">
        <v>32</v>
      </c>
    </row>
    <row r="37" spans="1:22" x14ac:dyDescent="0.2">
      <c r="A37" s="37"/>
      <c r="G37" s="38" t="s">
        <v>33</v>
      </c>
      <c r="H37" s="38"/>
      <c r="I37" s="39">
        <v>56</v>
      </c>
      <c r="J37" s="39">
        <v>57</v>
      </c>
      <c r="K37" s="40">
        <v>1.5649999999999999</v>
      </c>
      <c r="L37" s="41">
        <v>0.25</v>
      </c>
      <c r="M37" s="42">
        <f>+K37*L37</f>
        <v>0.39124999999999999</v>
      </c>
      <c r="N37" s="43">
        <f>+I37*M37</f>
        <v>21.91</v>
      </c>
      <c r="O37" s="39">
        <f>(+M37/60)*J37</f>
        <v>0.3716875</v>
      </c>
      <c r="P37" s="44">
        <f>+N37+O37</f>
        <v>22.2816875</v>
      </c>
    </row>
    <row r="38" spans="1:22" x14ac:dyDescent="0.2">
      <c r="A38" s="30"/>
      <c r="G38" s="38" t="s">
        <v>34</v>
      </c>
      <c r="H38" s="38"/>
      <c r="I38" s="39">
        <v>41</v>
      </c>
      <c r="J38" s="39">
        <v>6</v>
      </c>
      <c r="K38" s="40">
        <v>1.5649999999999999</v>
      </c>
      <c r="L38" s="41">
        <v>1.5</v>
      </c>
      <c r="M38" s="42">
        <f>+K38*L38</f>
        <v>2.3475000000000001</v>
      </c>
      <c r="N38" s="43">
        <f>+I38*M38</f>
        <v>96.247500000000002</v>
      </c>
      <c r="O38" s="39">
        <f>(+M38/60)*J38</f>
        <v>0.23475000000000001</v>
      </c>
      <c r="P38" s="44">
        <f t="shared" ref="P38:P39" si="15">+N38+O38</f>
        <v>96.482250000000008</v>
      </c>
    </row>
    <row r="39" spans="1:22" x14ac:dyDescent="0.2">
      <c r="A39" s="30"/>
      <c r="G39" s="38" t="s">
        <v>35</v>
      </c>
      <c r="H39" s="38"/>
      <c r="I39" s="39">
        <v>24</v>
      </c>
      <c r="J39" s="39">
        <v>23</v>
      </c>
      <c r="K39" s="40">
        <v>1.5649999999999999</v>
      </c>
      <c r="L39" s="41">
        <v>2</v>
      </c>
      <c r="M39" s="42">
        <f>+K39*L39</f>
        <v>3.13</v>
      </c>
      <c r="N39" s="43">
        <f>+I39*M39</f>
        <v>75.12</v>
      </c>
      <c r="O39" s="39">
        <f>(+M39/60)*J39</f>
        <v>1.1998333333333333</v>
      </c>
      <c r="P39" s="44">
        <f t="shared" si="15"/>
        <v>76.319833333333335</v>
      </c>
      <c r="R39" s="45"/>
      <c r="S39" s="45"/>
    </row>
    <row r="40" spans="1:22" ht="13.5" customHeight="1" thickBot="1" x14ac:dyDescent="0.25">
      <c r="G40" s="46"/>
      <c r="H40" s="46"/>
      <c r="I40" s="46"/>
      <c r="J40" s="46"/>
      <c r="K40" s="46"/>
      <c r="L40" s="38" t="s">
        <v>36</v>
      </c>
      <c r="M40" s="47"/>
      <c r="N40" s="48">
        <f>SUM(N37:N39)</f>
        <v>193.2775</v>
      </c>
      <c r="O40" s="48">
        <f>SUM(O37:O39)</f>
        <v>1.8062708333333333</v>
      </c>
      <c r="P40" s="49">
        <f>SUM(P37:P39)</f>
        <v>195.08377083333335</v>
      </c>
      <c r="R40" s="154" t="s">
        <v>37</v>
      </c>
      <c r="S40" s="154"/>
    </row>
    <row r="42" spans="1:22" x14ac:dyDescent="0.2">
      <c r="A42" s="28"/>
    </row>
    <row r="43" spans="1:22" x14ac:dyDescent="0.2">
      <c r="V43" s="58"/>
    </row>
    <row r="46" spans="1:22" x14ac:dyDescent="0.2">
      <c r="H46" s="1">
        <v>181.35</v>
      </c>
      <c r="I46" s="1" t="s">
        <v>39</v>
      </c>
    </row>
    <row r="47" spans="1:22" x14ac:dyDescent="0.2">
      <c r="H47" s="1">
        <v>195.08</v>
      </c>
      <c r="I47" s="1" t="s">
        <v>40</v>
      </c>
    </row>
    <row r="48" spans="1:22" x14ac:dyDescent="0.2">
      <c r="H48" s="61">
        <f>+H47-H46</f>
        <v>13.730000000000018</v>
      </c>
      <c r="I48" s="1" t="s">
        <v>41</v>
      </c>
    </row>
  </sheetData>
  <mergeCells count="11">
    <mergeCell ref="G36:H36"/>
    <mergeCell ref="R40:S40"/>
    <mergeCell ref="R2:R3"/>
    <mergeCell ref="A6:A7"/>
    <mergeCell ref="B6:B7"/>
    <mergeCell ref="C6:C7"/>
    <mergeCell ref="D6:D7"/>
    <mergeCell ref="E6:E7"/>
    <mergeCell ref="F6:F7"/>
    <mergeCell ref="G6:L6"/>
    <mergeCell ref="M6:T6"/>
  </mergeCells>
  <pageMargins left="0.70866141732283472" right="0.70866141732283472" top="0.74803149606299213" bottom="0.74803149606299213" header="0.31496062992125984" footer="0.31496062992125984"/>
  <pageSetup scale="60" orientation="landscape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JUNIO</vt:lpstr>
      <vt:lpstr>CALCULO 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2026-06-01T14:49:10Z</cp:lastPrinted>
  <dcterms:created xsi:type="dcterms:W3CDTF">2014-07-31T16:48:47Z</dcterms:created>
  <dcterms:modified xsi:type="dcterms:W3CDTF">2026-06-12T17:10:21Z</dcterms:modified>
</cp:coreProperties>
</file>