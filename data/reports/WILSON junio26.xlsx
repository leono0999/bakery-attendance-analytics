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1" autoFilterDateGrouping="1"/>
  </bookViews>
  <sheets>
    <sheet name="junio" sheetId="1" state="visible" r:id="rId1"/>
    <sheet name="CALCULO " sheetId="2" state="visible" r:id="rId2"/>
    <sheet name="Hoj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0_-;\-* #,##0.000_-;_-* &quot;-&quot;??_-;_-@_-"/>
    <numFmt numFmtId="165" formatCode="_-* #,##0.00_-;\-* #,##0.00_-;_-* &quot;-&quot;??_-;_-@_-"/>
    <numFmt numFmtId="166" formatCode="dd/mm/yyyy"/>
    <numFmt numFmtId="167" formatCode="hh:mm:ss"/>
  </numFmts>
  <fonts count="12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Eras Medium ITC"/>
      <family val="2"/>
      <b val="1"/>
      <sz val="8"/>
    </font>
    <font>
      <name val="Eras Medium ITC"/>
      <family val="2"/>
      <sz val="8"/>
    </font>
    <font>
      <name val="Tahoma"/>
      <family val="2"/>
      <sz val="8"/>
    </font>
    <font>
      <name val="Arial"/>
      <family val="2"/>
      <sz val="8"/>
    </font>
    <font>
      <name val="Malgun Gothic"/>
      <family val="2"/>
      <sz val="9"/>
    </font>
    <font>
      <name val="Malgun Gothic"/>
      <family val="2"/>
      <i val="1"/>
      <sz val="9"/>
    </font>
    <font>
      <name val="Tahoma"/>
      <family val="2"/>
      <sz val="8"/>
    </font>
    <font>
      <name val="Malgun Gothic"/>
      <family val="2"/>
      <color theme="0"/>
      <sz val="9"/>
    </font>
    <font>
      <name val="Tahoma"/>
      <charset val="1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FFFF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1" fillId="0" borderId="0"/>
  </cellStyleXfs>
  <cellXfs count="9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49" fontId="5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center"/>
    </xf>
    <xf numFmtId="21" fontId="7" fillId="0" borderId="2" applyAlignment="1" pivotButton="0" quotePrefix="0" xfId="0">
      <alignment horizontal="center"/>
    </xf>
    <xf numFmtId="0" fontId="8" fillId="0" borderId="0" pivotButton="0" quotePrefix="0" xfId="0"/>
    <xf numFmtId="0" fontId="7" fillId="2" borderId="2" applyAlignment="1" pivotButton="0" quotePrefix="0" xfId="0">
      <alignment horizontal="center" wrapText="1"/>
    </xf>
    <xf numFmtId="0" fontId="7" fillId="2" borderId="2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 wrapText="1"/>
    </xf>
    <xf numFmtId="0" fontId="7" fillId="0" borderId="2" pivotButton="0" quotePrefix="0" xfId="1"/>
    <xf numFmtId="14" fontId="7" fillId="0" borderId="2" pivotButton="0" quotePrefix="0" xfId="1"/>
    <xf numFmtId="20" fontId="7" fillId="0" borderId="2" applyAlignment="1" pivotButton="0" quotePrefix="0" xfId="0">
      <alignment horizontal="center"/>
    </xf>
    <xf numFmtId="20" fontId="7" fillId="2" borderId="2" applyAlignment="1" pivotButton="0" quotePrefix="0" xfId="0">
      <alignment horizontal="center" vertical="center"/>
    </xf>
    <xf numFmtId="21" fontId="7" fillId="0" borderId="2" applyAlignment="1" pivotButton="0" quotePrefix="0" xfId="0">
      <alignment horizontal="right"/>
    </xf>
    <xf numFmtId="20" fontId="7" fillId="0" borderId="2" applyAlignment="1" pivotButton="0" quotePrefix="0" xfId="0">
      <alignment horizontal="right"/>
    </xf>
    <xf numFmtId="21" fontId="7" fillId="2" borderId="2" pivotButton="0" quotePrefix="0" xfId="0"/>
    <xf numFmtId="21" fontId="7" fillId="0" borderId="2" pivotButton="0" quotePrefix="0" xfId="0"/>
    <xf numFmtId="0" fontId="7" fillId="3" borderId="2" pivotButton="0" quotePrefix="0" xfId="1"/>
    <xf numFmtId="14" fontId="7" fillId="3" borderId="2" pivotButton="0" quotePrefix="0" xfId="1"/>
    <xf numFmtId="21" fontId="7" fillId="3" borderId="2" applyAlignment="1" pivotButton="0" quotePrefix="0" xfId="1">
      <alignment horizontal="right"/>
    </xf>
    <xf numFmtId="20" fontId="7" fillId="3" borderId="2" applyAlignment="1" pivotButton="0" quotePrefix="0" xfId="0">
      <alignment horizontal="center"/>
    </xf>
    <xf numFmtId="20" fontId="7" fillId="3" borderId="2" applyAlignment="1" pivotButton="0" quotePrefix="0" xfId="0">
      <alignment horizontal="center" vertical="center"/>
    </xf>
    <xf numFmtId="21" fontId="7" fillId="3" borderId="2" applyAlignment="1" pivotButton="0" quotePrefix="0" xfId="0">
      <alignment horizontal="right"/>
    </xf>
    <xf numFmtId="20" fontId="7" fillId="3" borderId="2" applyAlignment="1" pivotButton="0" quotePrefix="0" xfId="0">
      <alignment horizontal="right"/>
    </xf>
    <xf numFmtId="21" fontId="7" fillId="3" borderId="2" applyAlignment="1" pivotButton="0" quotePrefix="0" xfId="0">
      <alignment horizontal="center"/>
    </xf>
    <xf numFmtId="21" fontId="7" fillId="3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center" vertical="center"/>
    </xf>
    <xf numFmtId="46" fontId="7" fillId="0" borderId="2" applyAlignment="1" pivotButton="0" quotePrefix="0" xfId="0">
      <alignment horizontal="right"/>
    </xf>
    <xf numFmtId="46" fontId="7" fillId="2" borderId="2" applyAlignment="1" pivotButton="0" quotePrefix="0" xfId="0">
      <alignment horizontal="center"/>
    </xf>
    <xf numFmtId="46" fontId="7" fillId="2" borderId="0" pivotButton="0" quotePrefix="0" xfId="0"/>
    <xf numFmtId="49" fontId="7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7" fillId="2" borderId="0" pivotButton="0" quotePrefix="0" xfId="0"/>
    <xf numFmtId="21" fontId="7" fillId="0" borderId="0" pivotButton="0" quotePrefix="0" xfId="0"/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49" fontId="7" fillId="0" borderId="0" applyAlignment="1" pivotButton="0" quotePrefix="0" xfId="0">
      <alignment horizontal="center" vertical="center"/>
    </xf>
    <xf numFmtId="2" fontId="7" fillId="0" borderId="2" pivotButton="0" quotePrefix="0" xfId="0"/>
    <xf numFmtId="164" fontId="7" fillId="0" borderId="2" pivotButton="0" quotePrefix="0" xfId="2"/>
    <xf numFmtId="165" fontId="7" fillId="0" borderId="2" pivotButton="0" quotePrefix="0" xfId="2"/>
    <xf numFmtId="165" fontId="7" fillId="0" borderId="3" pivotButton="0" quotePrefix="0" xfId="0"/>
    <xf numFmtId="2" fontId="7" fillId="0" borderId="4" pivotButton="0" quotePrefix="0" xfId="2"/>
    <xf numFmtId="2" fontId="7" fillId="2" borderId="2" pivotButton="0" quotePrefix="0" xfId="0"/>
    <xf numFmtId="2" fontId="7" fillId="0" borderId="5" pivotButton="0" quotePrefix="0" xfId="0"/>
    <xf numFmtId="0" fontId="7" fillId="0" borderId="9" pivotButton="0" quotePrefix="0" xfId="0"/>
    <xf numFmtId="0" fontId="7" fillId="0" borderId="3" pivotButton="0" quotePrefix="0" xfId="0"/>
    <xf numFmtId="2" fontId="7" fillId="0" borderId="10" pivotButton="0" quotePrefix="0" xfId="0"/>
    <xf numFmtId="2" fontId="7" fillId="2" borderId="10" pivotButton="0" quotePrefix="0" xfId="0"/>
    <xf numFmtId="2" fontId="7" fillId="0" borderId="11" pivotButton="0" quotePrefix="0" xfId="0"/>
    <xf numFmtId="21" fontId="7" fillId="0" borderId="0" applyAlignment="1" pivotButton="0" quotePrefix="0" xfId="1">
      <alignment horizontal="center"/>
    </xf>
    <xf numFmtId="21" fontId="7" fillId="0" borderId="0" applyAlignment="1" pivotButton="0" quotePrefix="0" xfId="1">
      <alignment horizontal="center" vertical="top"/>
    </xf>
    <xf numFmtId="21" fontId="7" fillId="0" borderId="0" pivotButton="0" quotePrefix="0" xfId="1"/>
    <xf numFmtId="21" fontId="7" fillId="2" borderId="2" applyAlignment="1" pivotButton="0" quotePrefix="0" xfId="1">
      <alignment horizontal="right"/>
    </xf>
    <xf numFmtId="49" fontId="5" fillId="4" borderId="13" applyAlignment="1" pivotButton="0" quotePrefix="0" xfId="0">
      <alignment horizontal="left" vertical="center"/>
    </xf>
    <xf numFmtId="49" fontId="9" fillId="4" borderId="13" applyAlignment="1" pivotButton="0" quotePrefix="0" xfId="0">
      <alignment horizontal="left" vertical="center"/>
    </xf>
    <xf numFmtId="21" fontId="10" fillId="0" borderId="2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21" fontId="10" fillId="0" borderId="0" applyAlignment="1" pivotButton="0" quotePrefix="0" xfId="0">
      <alignment horizontal="center" vertical="center"/>
    </xf>
    <xf numFmtId="21" fontId="1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7" fillId="0" borderId="1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2" borderId="2" applyAlignment="1" pivotButton="0" quotePrefix="0" xfId="1">
      <alignment horizontal="center" vertical="center" wrapText="1"/>
    </xf>
    <xf numFmtId="0" fontId="7" fillId="2" borderId="2" applyAlignment="1" pivotButton="0" quotePrefix="0" xfId="0">
      <alignment horizontal="center" wrapText="1"/>
    </xf>
    <xf numFmtId="0" fontId="7" fillId="2" borderId="2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49" fontId="11" fillId="4" borderId="13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" pivotButton="0" quotePrefix="0" xfId="0"/>
    <xf numFmtId="0" fontId="0" fillId="0" borderId="17" pivotButton="0" quotePrefix="0" xfId="0"/>
    <xf numFmtId="166" fontId="7" fillId="0" borderId="2" pivotButton="0" quotePrefix="0" xfId="1"/>
    <xf numFmtId="167" fontId="7" fillId="0" borderId="2" applyAlignment="1" pivotButton="0" quotePrefix="0" xfId="0">
      <alignment horizontal="center"/>
    </xf>
    <xf numFmtId="167" fontId="7" fillId="2" borderId="2" applyAlignment="1" pivotButton="0" quotePrefix="0" xfId="0">
      <alignment horizontal="center" vertical="center"/>
    </xf>
    <xf numFmtId="166" fontId="7" fillId="3" borderId="2" pivotButton="0" quotePrefix="0" xfId="1"/>
    <xf numFmtId="167" fontId="7" fillId="3" borderId="2" applyAlignment="1" pivotButton="0" quotePrefix="0" xfId="0">
      <alignment horizontal="center"/>
    </xf>
    <xf numFmtId="167" fontId="7" fillId="3" borderId="2" applyAlignment="1" pivotButton="0" quotePrefix="0" xfId="0">
      <alignment horizontal="center" vertical="center"/>
    </xf>
    <xf numFmtId="165" fontId="7" fillId="0" borderId="2" pivotButton="0" quotePrefix="0" xfId="2"/>
    <xf numFmtId="165" fontId="7" fillId="0" borderId="3" pivotButton="0" quotePrefix="0" xfId="0"/>
    <xf numFmtId="0" fontId="0" fillId="0" borderId="12" pivotButton="0" quotePrefix="0" xfId="0"/>
  </cellXfs>
  <cellStyles count="3">
    <cellStyle name="Normal" xfId="0" builtinId="0"/>
    <cellStyle name="Normal 2" xfId="1"/>
    <cellStyle name="Millares" xfId="2" builtin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9"/>
  <sheetViews>
    <sheetView workbookViewId="0">
      <selection activeCell="D10" sqref="D10"/>
    </sheetView>
  </sheetViews>
  <sheetFormatPr baseColWidth="10" defaultRowHeight="11.25"/>
  <cols>
    <col width="5.140625" customWidth="1" style="2" min="1" max="1"/>
    <col width="12.140625" customWidth="1" style="2" min="2" max="2"/>
    <col width="18.7109375" customWidth="1" style="2" min="3" max="3"/>
    <col width="22.85546875" customWidth="1" style="2" min="4" max="4"/>
    <col width="11.42578125" customWidth="1" style="2" min="5" max="245"/>
    <col width="20" customWidth="1" style="2" min="246" max="246"/>
    <col width="17.85546875" customWidth="1" style="2" min="247" max="247"/>
    <col width="26.140625" customWidth="1" style="2" min="248" max="248"/>
    <col width="11.42578125" customWidth="1" style="2" min="249" max="501"/>
    <col width="20" customWidth="1" style="2" min="502" max="502"/>
    <col width="17.85546875" customWidth="1" style="2" min="503" max="503"/>
    <col width="26.140625" customWidth="1" style="2" min="504" max="504"/>
    <col width="11.42578125" customWidth="1" style="2" min="505" max="757"/>
    <col width="20" customWidth="1" style="2" min="758" max="758"/>
    <col width="17.85546875" customWidth="1" style="2" min="759" max="759"/>
    <col width="26.140625" customWidth="1" style="2" min="760" max="760"/>
    <col width="11.42578125" customWidth="1" style="2" min="761" max="1013"/>
    <col width="20" customWidth="1" style="2" min="1014" max="1014"/>
    <col width="17.85546875" customWidth="1" style="2" min="1015" max="1015"/>
    <col width="26.140625" customWidth="1" style="2" min="1016" max="1016"/>
    <col width="11.42578125" customWidth="1" style="2" min="1017" max="1269"/>
    <col width="20" customWidth="1" style="2" min="1270" max="1270"/>
    <col width="17.85546875" customWidth="1" style="2" min="1271" max="1271"/>
    <col width="26.140625" customWidth="1" style="2" min="1272" max="1272"/>
    <col width="11.42578125" customWidth="1" style="2" min="1273" max="1525"/>
    <col width="20" customWidth="1" style="2" min="1526" max="1526"/>
    <col width="17.85546875" customWidth="1" style="2" min="1527" max="1527"/>
    <col width="26.140625" customWidth="1" style="2" min="1528" max="1528"/>
    <col width="11.42578125" customWidth="1" style="2" min="1529" max="1781"/>
    <col width="20" customWidth="1" style="2" min="1782" max="1782"/>
    <col width="17.85546875" customWidth="1" style="2" min="1783" max="1783"/>
    <col width="26.140625" customWidth="1" style="2" min="1784" max="1784"/>
    <col width="11.42578125" customWidth="1" style="2" min="1785" max="2037"/>
    <col width="20" customWidth="1" style="2" min="2038" max="2038"/>
    <col width="17.85546875" customWidth="1" style="2" min="2039" max="2039"/>
    <col width="26.140625" customWidth="1" style="2" min="2040" max="2040"/>
    <col width="11.42578125" customWidth="1" style="2" min="2041" max="2293"/>
    <col width="20" customWidth="1" style="2" min="2294" max="2294"/>
    <col width="17.85546875" customWidth="1" style="2" min="2295" max="2295"/>
    <col width="26.140625" customWidth="1" style="2" min="2296" max="2296"/>
    <col width="11.42578125" customWidth="1" style="2" min="2297" max="2549"/>
    <col width="20" customWidth="1" style="2" min="2550" max="2550"/>
    <col width="17.85546875" customWidth="1" style="2" min="2551" max="2551"/>
    <col width="26.140625" customWidth="1" style="2" min="2552" max="2552"/>
    <col width="11.42578125" customWidth="1" style="2" min="2553" max="2805"/>
    <col width="20" customWidth="1" style="2" min="2806" max="2806"/>
    <col width="17.85546875" customWidth="1" style="2" min="2807" max="2807"/>
    <col width="26.140625" customWidth="1" style="2" min="2808" max="2808"/>
    <col width="11.42578125" customWidth="1" style="2" min="2809" max="3061"/>
    <col width="20" customWidth="1" style="2" min="3062" max="3062"/>
    <col width="17.85546875" customWidth="1" style="2" min="3063" max="3063"/>
    <col width="26.140625" customWidth="1" style="2" min="3064" max="3064"/>
    <col width="11.42578125" customWidth="1" style="2" min="3065" max="3317"/>
    <col width="20" customWidth="1" style="2" min="3318" max="3318"/>
    <col width="17.85546875" customWidth="1" style="2" min="3319" max="3319"/>
    <col width="26.140625" customWidth="1" style="2" min="3320" max="3320"/>
    <col width="11.42578125" customWidth="1" style="2" min="3321" max="3573"/>
    <col width="20" customWidth="1" style="2" min="3574" max="3574"/>
    <col width="17.85546875" customWidth="1" style="2" min="3575" max="3575"/>
    <col width="26.140625" customWidth="1" style="2" min="3576" max="3576"/>
    <col width="11.42578125" customWidth="1" style="2" min="3577" max="3829"/>
    <col width="20" customWidth="1" style="2" min="3830" max="3830"/>
    <col width="17.85546875" customWidth="1" style="2" min="3831" max="3831"/>
    <col width="26.140625" customWidth="1" style="2" min="3832" max="3832"/>
    <col width="11.42578125" customWidth="1" style="2" min="3833" max="4085"/>
    <col width="20" customWidth="1" style="2" min="4086" max="4086"/>
    <col width="17.85546875" customWidth="1" style="2" min="4087" max="4087"/>
    <col width="26.140625" customWidth="1" style="2" min="4088" max="4088"/>
    <col width="11.42578125" customWidth="1" style="2" min="4089" max="4341"/>
    <col width="20" customWidth="1" style="2" min="4342" max="4342"/>
    <col width="17.85546875" customWidth="1" style="2" min="4343" max="4343"/>
    <col width="26.140625" customWidth="1" style="2" min="4344" max="4344"/>
    <col width="11.42578125" customWidth="1" style="2" min="4345" max="4597"/>
    <col width="20" customWidth="1" style="2" min="4598" max="4598"/>
    <col width="17.85546875" customWidth="1" style="2" min="4599" max="4599"/>
    <col width="26.140625" customWidth="1" style="2" min="4600" max="4600"/>
    <col width="11.42578125" customWidth="1" style="2" min="4601" max="4853"/>
    <col width="20" customWidth="1" style="2" min="4854" max="4854"/>
    <col width="17.85546875" customWidth="1" style="2" min="4855" max="4855"/>
    <col width="26.140625" customWidth="1" style="2" min="4856" max="4856"/>
    <col width="11.42578125" customWidth="1" style="2" min="4857" max="5109"/>
    <col width="20" customWidth="1" style="2" min="5110" max="5110"/>
    <col width="17.85546875" customWidth="1" style="2" min="5111" max="5111"/>
    <col width="26.140625" customWidth="1" style="2" min="5112" max="5112"/>
    <col width="11.42578125" customWidth="1" style="2" min="5113" max="5365"/>
    <col width="20" customWidth="1" style="2" min="5366" max="5366"/>
    <col width="17.85546875" customWidth="1" style="2" min="5367" max="5367"/>
    <col width="26.140625" customWidth="1" style="2" min="5368" max="5368"/>
    <col width="11.42578125" customWidth="1" style="2" min="5369" max="5621"/>
    <col width="20" customWidth="1" style="2" min="5622" max="5622"/>
    <col width="17.85546875" customWidth="1" style="2" min="5623" max="5623"/>
    <col width="26.140625" customWidth="1" style="2" min="5624" max="5624"/>
    <col width="11.42578125" customWidth="1" style="2" min="5625" max="5877"/>
    <col width="20" customWidth="1" style="2" min="5878" max="5878"/>
    <col width="17.85546875" customWidth="1" style="2" min="5879" max="5879"/>
    <col width="26.140625" customWidth="1" style="2" min="5880" max="5880"/>
    <col width="11.42578125" customWidth="1" style="2" min="5881" max="6133"/>
    <col width="20" customWidth="1" style="2" min="6134" max="6134"/>
    <col width="17.85546875" customWidth="1" style="2" min="6135" max="6135"/>
    <col width="26.140625" customWidth="1" style="2" min="6136" max="6136"/>
    <col width="11.42578125" customWidth="1" style="2" min="6137" max="6389"/>
    <col width="20" customWidth="1" style="2" min="6390" max="6390"/>
    <col width="17.85546875" customWidth="1" style="2" min="6391" max="6391"/>
    <col width="26.140625" customWidth="1" style="2" min="6392" max="6392"/>
    <col width="11.42578125" customWidth="1" style="2" min="6393" max="6645"/>
    <col width="20" customWidth="1" style="2" min="6646" max="6646"/>
    <col width="17.85546875" customWidth="1" style="2" min="6647" max="6647"/>
    <col width="26.140625" customWidth="1" style="2" min="6648" max="6648"/>
    <col width="11.42578125" customWidth="1" style="2" min="6649" max="6901"/>
    <col width="20" customWidth="1" style="2" min="6902" max="6902"/>
    <col width="17.85546875" customWidth="1" style="2" min="6903" max="6903"/>
    <col width="26.140625" customWidth="1" style="2" min="6904" max="6904"/>
    <col width="11.42578125" customWidth="1" style="2" min="6905" max="7157"/>
    <col width="20" customWidth="1" style="2" min="7158" max="7158"/>
    <col width="17.85546875" customWidth="1" style="2" min="7159" max="7159"/>
    <col width="26.140625" customWidth="1" style="2" min="7160" max="7160"/>
    <col width="11.42578125" customWidth="1" style="2" min="7161" max="7413"/>
    <col width="20" customWidth="1" style="2" min="7414" max="7414"/>
    <col width="17.85546875" customWidth="1" style="2" min="7415" max="7415"/>
    <col width="26.140625" customWidth="1" style="2" min="7416" max="7416"/>
    <col width="11.42578125" customWidth="1" style="2" min="7417" max="7669"/>
    <col width="20" customWidth="1" style="2" min="7670" max="7670"/>
    <col width="17.85546875" customWidth="1" style="2" min="7671" max="7671"/>
    <col width="26.140625" customWidth="1" style="2" min="7672" max="7672"/>
    <col width="11.42578125" customWidth="1" style="2" min="7673" max="7925"/>
    <col width="20" customWidth="1" style="2" min="7926" max="7926"/>
    <col width="17.85546875" customWidth="1" style="2" min="7927" max="7927"/>
    <col width="26.140625" customWidth="1" style="2" min="7928" max="7928"/>
    <col width="11.42578125" customWidth="1" style="2" min="7929" max="8181"/>
    <col width="20" customWidth="1" style="2" min="8182" max="8182"/>
    <col width="17.85546875" customWidth="1" style="2" min="8183" max="8183"/>
    <col width="26.140625" customWidth="1" style="2" min="8184" max="8184"/>
    <col width="11.42578125" customWidth="1" style="2" min="8185" max="8437"/>
    <col width="20" customWidth="1" style="2" min="8438" max="8438"/>
    <col width="17.85546875" customWidth="1" style="2" min="8439" max="8439"/>
    <col width="26.140625" customWidth="1" style="2" min="8440" max="8440"/>
    <col width="11.42578125" customWidth="1" style="2" min="8441" max="8693"/>
    <col width="20" customWidth="1" style="2" min="8694" max="8694"/>
    <col width="17.85546875" customWidth="1" style="2" min="8695" max="8695"/>
    <col width="26.140625" customWidth="1" style="2" min="8696" max="8696"/>
    <col width="11.42578125" customWidth="1" style="2" min="8697" max="8949"/>
    <col width="20" customWidth="1" style="2" min="8950" max="8950"/>
    <col width="17.85546875" customWidth="1" style="2" min="8951" max="8951"/>
    <col width="26.140625" customWidth="1" style="2" min="8952" max="8952"/>
    <col width="11.42578125" customWidth="1" style="2" min="8953" max="9205"/>
    <col width="20" customWidth="1" style="2" min="9206" max="9206"/>
    <col width="17.85546875" customWidth="1" style="2" min="9207" max="9207"/>
    <col width="26.140625" customWidth="1" style="2" min="9208" max="9208"/>
    <col width="11.42578125" customWidth="1" style="2" min="9209" max="9461"/>
    <col width="20" customWidth="1" style="2" min="9462" max="9462"/>
    <col width="17.85546875" customWidth="1" style="2" min="9463" max="9463"/>
    <col width="26.140625" customWidth="1" style="2" min="9464" max="9464"/>
    <col width="11.42578125" customWidth="1" style="2" min="9465" max="9717"/>
    <col width="20" customWidth="1" style="2" min="9718" max="9718"/>
    <col width="17.85546875" customWidth="1" style="2" min="9719" max="9719"/>
    <col width="26.140625" customWidth="1" style="2" min="9720" max="9720"/>
    <col width="11.42578125" customWidth="1" style="2" min="9721" max="9973"/>
    <col width="20" customWidth="1" style="2" min="9974" max="9974"/>
    <col width="17.85546875" customWidth="1" style="2" min="9975" max="9975"/>
    <col width="26.140625" customWidth="1" style="2" min="9976" max="9976"/>
    <col width="11.42578125" customWidth="1" style="2" min="9977" max="10229"/>
    <col width="20" customWidth="1" style="2" min="10230" max="10230"/>
    <col width="17.85546875" customWidth="1" style="2" min="10231" max="10231"/>
    <col width="26.140625" customWidth="1" style="2" min="10232" max="10232"/>
    <col width="11.42578125" customWidth="1" style="2" min="10233" max="10485"/>
    <col width="20" customWidth="1" style="2" min="10486" max="10486"/>
    <col width="17.85546875" customWidth="1" style="2" min="10487" max="10487"/>
    <col width="26.140625" customWidth="1" style="2" min="10488" max="10488"/>
    <col width="11.42578125" customWidth="1" style="2" min="10489" max="10741"/>
    <col width="20" customWidth="1" style="2" min="10742" max="10742"/>
    <col width="17.85546875" customWidth="1" style="2" min="10743" max="10743"/>
    <col width="26.140625" customWidth="1" style="2" min="10744" max="10744"/>
    <col width="11.42578125" customWidth="1" style="2" min="10745" max="10997"/>
    <col width="20" customWidth="1" style="2" min="10998" max="10998"/>
    <col width="17.85546875" customWidth="1" style="2" min="10999" max="10999"/>
    <col width="26.140625" customWidth="1" style="2" min="11000" max="11000"/>
    <col width="11.42578125" customWidth="1" style="2" min="11001" max="11253"/>
    <col width="20" customWidth="1" style="2" min="11254" max="11254"/>
    <col width="17.85546875" customWidth="1" style="2" min="11255" max="11255"/>
    <col width="26.140625" customWidth="1" style="2" min="11256" max="11256"/>
    <col width="11.42578125" customWidth="1" style="2" min="11257" max="11509"/>
    <col width="20" customWidth="1" style="2" min="11510" max="11510"/>
    <col width="17.85546875" customWidth="1" style="2" min="11511" max="11511"/>
    <col width="26.140625" customWidth="1" style="2" min="11512" max="11512"/>
    <col width="11.42578125" customWidth="1" style="2" min="11513" max="11765"/>
    <col width="20" customWidth="1" style="2" min="11766" max="11766"/>
    <col width="17.85546875" customWidth="1" style="2" min="11767" max="11767"/>
    <col width="26.140625" customWidth="1" style="2" min="11768" max="11768"/>
    <col width="11.42578125" customWidth="1" style="2" min="11769" max="12021"/>
    <col width="20" customWidth="1" style="2" min="12022" max="12022"/>
    <col width="17.85546875" customWidth="1" style="2" min="12023" max="12023"/>
    <col width="26.140625" customWidth="1" style="2" min="12024" max="12024"/>
    <col width="11.42578125" customWidth="1" style="2" min="12025" max="12277"/>
    <col width="20" customWidth="1" style="2" min="12278" max="12278"/>
    <col width="17.85546875" customWidth="1" style="2" min="12279" max="12279"/>
    <col width="26.140625" customWidth="1" style="2" min="12280" max="12280"/>
    <col width="11.42578125" customWidth="1" style="2" min="12281" max="12533"/>
    <col width="20" customWidth="1" style="2" min="12534" max="12534"/>
    <col width="17.85546875" customWidth="1" style="2" min="12535" max="12535"/>
    <col width="26.140625" customWidth="1" style="2" min="12536" max="12536"/>
    <col width="11.42578125" customWidth="1" style="2" min="12537" max="12789"/>
    <col width="20" customWidth="1" style="2" min="12790" max="12790"/>
    <col width="17.85546875" customWidth="1" style="2" min="12791" max="12791"/>
    <col width="26.140625" customWidth="1" style="2" min="12792" max="12792"/>
    <col width="11.42578125" customWidth="1" style="2" min="12793" max="13045"/>
    <col width="20" customWidth="1" style="2" min="13046" max="13046"/>
    <col width="17.85546875" customWidth="1" style="2" min="13047" max="13047"/>
    <col width="26.140625" customWidth="1" style="2" min="13048" max="13048"/>
    <col width="11.42578125" customWidth="1" style="2" min="13049" max="13301"/>
    <col width="20" customWidth="1" style="2" min="13302" max="13302"/>
    <col width="17.85546875" customWidth="1" style="2" min="13303" max="13303"/>
    <col width="26.140625" customWidth="1" style="2" min="13304" max="13304"/>
    <col width="11.42578125" customWidth="1" style="2" min="13305" max="13557"/>
    <col width="20" customWidth="1" style="2" min="13558" max="13558"/>
    <col width="17.85546875" customWidth="1" style="2" min="13559" max="13559"/>
    <col width="26.140625" customWidth="1" style="2" min="13560" max="13560"/>
    <col width="11.42578125" customWidth="1" style="2" min="13561" max="13813"/>
    <col width="20" customWidth="1" style="2" min="13814" max="13814"/>
    <col width="17.85546875" customWidth="1" style="2" min="13815" max="13815"/>
    <col width="26.140625" customWidth="1" style="2" min="13816" max="13816"/>
    <col width="11.42578125" customWidth="1" style="2" min="13817" max="14069"/>
    <col width="20" customWidth="1" style="2" min="14070" max="14070"/>
    <col width="17.85546875" customWidth="1" style="2" min="14071" max="14071"/>
    <col width="26.140625" customWidth="1" style="2" min="14072" max="14072"/>
    <col width="11.42578125" customWidth="1" style="2" min="14073" max="14325"/>
    <col width="20" customWidth="1" style="2" min="14326" max="14326"/>
    <col width="17.85546875" customWidth="1" style="2" min="14327" max="14327"/>
    <col width="26.140625" customWidth="1" style="2" min="14328" max="14328"/>
    <col width="11.42578125" customWidth="1" style="2" min="14329" max="14581"/>
    <col width="20" customWidth="1" style="2" min="14582" max="14582"/>
    <col width="17.85546875" customWidth="1" style="2" min="14583" max="14583"/>
    <col width="26.140625" customWidth="1" style="2" min="14584" max="14584"/>
    <col width="11.42578125" customWidth="1" style="2" min="14585" max="14837"/>
    <col width="20" customWidth="1" style="2" min="14838" max="14838"/>
    <col width="17.85546875" customWidth="1" style="2" min="14839" max="14839"/>
    <col width="26.140625" customWidth="1" style="2" min="14840" max="14840"/>
    <col width="11.42578125" customWidth="1" style="2" min="14841" max="15093"/>
    <col width="20" customWidth="1" style="2" min="15094" max="15094"/>
    <col width="17.85546875" customWidth="1" style="2" min="15095" max="15095"/>
    <col width="26.140625" customWidth="1" style="2" min="15096" max="15096"/>
    <col width="11.42578125" customWidth="1" style="2" min="15097" max="15349"/>
    <col width="20" customWidth="1" style="2" min="15350" max="15350"/>
    <col width="17.85546875" customWidth="1" style="2" min="15351" max="15351"/>
    <col width="26.140625" customWidth="1" style="2" min="15352" max="15352"/>
    <col width="11.42578125" customWidth="1" style="2" min="15353" max="15605"/>
    <col width="20" customWidth="1" style="2" min="15606" max="15606"/>
    <col width="17.85546875" customWidth="1" style="2" min="15607" max="15607"/>
    <col width="26.140625" customWidth="1" style="2" min="15608" max="15608"/>
    <col width="11.42578125" customWidth="1" style="2" min="15609" max="15861"/>
    <col width="20" customWidth="1" style="2" min="15862" max="15862"/>
    <col width="17.85546875" customWidth="1" style="2" min="15863" max="15863"/>
    <col width="26.140625" customWidth="1" style="2" min="15864" max="15864"/>
    <col width="11.42578125" customWidth="1" style="2" min="15865" max="16117"/>
    <col width="20" customWidth="1" style="2" min="16118" max="16118"/>
    <col width="17.85546875" customWidth="1" style="2" min="16119" max="16119"/>
    <col width="26.140625" customWidth="1" style="2" min="16120" max="16120"/>
    <col width="11.42578125" customWidth="1" style="2" min="16121" max="16384"/>
  </cols>
  <sheetData>
    <row r="1">
      <c r="A1" s="1" t="inlineStr">
        <is>
          <t>AC-No.</t>
        </is>
      </c>
      <c r="B1" s="1" t="inlineStr">
        <is>
          <t>IMSS/CURP</t>
        </is>
      </c>
      <c r="C1" s="1" t="inlineStr">
        <is>
          <t>Nombre</t>
        </is>
      </c>
      <c r="D1" s="1" t="inlineStr">
        <is>
          <t>Fecha y hora</t>
        </is>
      </c>
    </row>
    <row r="2" ht="18" customHeight="1">
      <c r="A2" s="79" t="inlineStr">
        <is>
          <t>1</t>
        </is>
      </c>
      <c r="B2" s="79" t="inlineStr">
        <is>
          <t>WILSON A</t>
        </is>
      </c>
      <c r="C2" s="79" t="inlineStr">
        <is>
          <t>01/06/2026 02:37:16</t>
        </is>
      </c>
      <c r="D2" s="3" t="n"/>
    </row>
    <row r="3" ht="18" customHeight="1">
      <c r="A3" s="79" t="inlineStr">
        <is>
          <t>1</t>
        </is>
      </c>
      <c r="B3" s="79" t="inlineStr">
        <is>
          <t>WILSON A</t>
        </is>
      </c>
      <c r="C3" s="79" t="inlineStr">
        <is>
          <t>01/06/2026 02:37:18</t>
        </is>
      </c>
      <c r="D3" s="3" t="n"/>
    </row>
    <row r="4" ht="18" customHeight="1">
      <c r="A4" s="79" t="inlineStr">
        <is>
          <t>1</t>
        </is>
      </c>
      <c r="B4" s="79" t="inlineStr">
        <is>
          <t>WILSON A</t>
        </is>
      </c>
      <c r="C4" s="79" t="inlineStr">
        <is>
          <t>01/06/2026 12:08:49</t>
        </is>
      </c>
      <c r="D4" s="3" t="n"/>
    </row>
    <row r="5" ht="18" customHeight="1">
      <c r="A5" s="79" t="inlineStr">
        <is>
          <t>1</t>
        </is>
      </c>
      <c r="B5" s="79" t="inlineStr">
        <is>
          <t>WILSON A</t>
        </is>
      </c>
      <c r="C5" s="79" t="inlineStr">
        <is>
          <t>01/06/2026 12:08:51</t>
        </is>
      </c>
      <c r="D5" s="3" t="n"/>
    </row>
    <row r="6" ht="18" customHeight="1">
      <c r="A6" s="79" t="inlineStr">
        <is>
          <t>1</t>
        </is>
      </c>
      <c r="B6" s="79" t="inlineStr">
        <is>
          <t>WILSON A</t>
        </is>
      </c>
      <c r="C6" s="79" t="inlineStr">
        <is>
          <t>02/06/2026 02:40:36</t>
        </is>
      </c>
      <c r="D6" s="3" t="n"/>
    </row>
    <row r="7" ht="18" customHeight="1">
      <c r="A7" s="79" t="inlineStr">
        <is>
          <t>1</t>
        </is>
      </c>
      <c r="B7" s="79" t="inlineStr">
        <is>
          <t>WILSON A</t>
        </is>
      </c>
      <c r="C7" s="79" t="inlineStr">
        <is>
          <t>02/06/2026 12:15:47</t>
        </is>
      </c>
      <c r="D7" s="3" t="n"/>
    </row>
    <row r="8" ht="18" customHeight="1">
      <c r="A8" s="79" t="inlineStr">
        <is>
          <t>1</t>
        </is>
      </c>
      <c r="B8" s="79" t="inlineStr">
        <is>
          <t>WILSON A</t>
        </is>
      </c>
      <c r="C8" s="79" t="inlineStr">
        <is>
          <t>03/06/2026 02:23:41</t>
        </is>
      </c>
      <c r="D8" s="3" t="n"/>
    </row>
    <row r="9" ht="18" customHeight="1">
      <c r="A9" s="79" t="inlineStr">
        <is>
          <t>1</t>
        </is>
      </c>
      <c r="B9" s="79" t="inlineStr">
        <is>
          <t>WILSON A</t>
        </is>
      </c>
      <c r="C9" s="79" t="inlineStr">
        <is>
          <t>03/06/2026 02:23:42</t>
        </is>
      </c>
      <c r="D9" s="3" t="n"/>
    </row>
    <row r="10" ht="18" customHeight="1">
      <c r="A10" s="79" t="inlineStr">
        <is>
          <t>1</t>
        </is>
      </c>
      <c r="B10" s="79" t="inlineStr">
        <is>
          <t>WILSON A</t>
        </is>
      </c>
      <c r="C10" s="79" t="inlineStr">
        <is>
          <t>03/06/2026 12:30:11</t>
        </is>
      </c>
      <c r="D10" s="3" t="n"/>
    </row>
    <row r="11" ht="18" customHeight="1">
      <c r="A11" s="79" t="inlineStr">
        <is>
          <t>1</t>
        </is>
      </c>
      <c r="B11" s="79" t="inlineStr">
        <is>
          <t>WILSON A</t>
        </is>
      </c>
      <c r="C11" s="79" t="inlineStr">
        <is>
          <t>04/06/2026 02:38:08</t>
        </is>
      </c>
      <c r="D11" s="3" t="n"/>
    </row>
    <row r="12" ht="18" customHeight="1">
      <c r="A12" s="79" t="inlineStr">
        <is>
          <t>1</t>
        </is>
      </c>
      <c r="B12" s="79" t="inlineStr">
        <is>
          <t>WILSON A</t>
        </is>
      </c>
      <c r="C12" s="79" t="inlineStr">
        <is>
          <t>04/06/2026 11:59:08</t>
        </is>
      </c>
      <c r="D12" s="3" t="n"/>
    </row>
    <row r="13" ht="18" customHeight="1">
      <c r="A13" s="79" t="inlineStr">
        <is>
          <t>1</t>
        </is>
      </c>
      <c r="B13" s="79" t="inlineStr">
        <is>
          <t>WILSON A</t>
        </is>
      </c>
      <c r="C13" s="79" t="inlineStr">
        <is>
          <t>05/06/2026 02:45:03</t>
        </is>
      </c>
      <c r="D13" s="3" t="n"/>
    </row>
    <row r="14" ht="18" customHeight="1">
      <c r="A14" s="79" t="inlineStr">
        <is>
          <t>1</t>
        </is>
      </c>
      <c r="B14" s="79" t="inlineStr">
        <is>
          <t>WILSON A</t>
        </is>
      </c>
      <c r="C14" s="79" t="inlineStr">
        <is>
          <t>05/06/2026 12:27:57</t>
        </is>
      </c>
      <c r="D14" s="3" t="n"/>
    </row>
    <row r="15" ht="18" customHeight="1">
      <c r="A15" s="79" t="inlineStr">
        <is>
          <t>1</t>
        </is>
      </c>
      <c r="B15" s="79" t="inlineStr">
        <is>
          <t>WILSON A</t>
        </is>
      </c>
      <c r="C15" s="79" t="inlineStr">
        <is>
          <t>06/06/2026 02:42:00</t>
        </is>
      </c>
      <c r="D15" s="3" t="n"/>
    </row>
    <row r="16" ht="18" customHeight="1">
      <c r="A16" s="79" t="inlineStr">
        <is>
          <t>1</t>
        </is>
      </c>
      <c r="B16" s="79" t="inlineStr">
        <is>
          <t>WILSON A</t>
        </is>
      </c>
      <c r="C16" s="79" t="inlineStr">
        <is>
          <t>06/06/2026 12:31:11</t>
        </is>
      </c>
      <c r="D16" s="3" t="n"/>
    </row>
    <row r="17" ht="18" customHeight="1">
      <c r="A17" s="79" t="inlineStr">
        <is>
          <t>1</t>
        </is>
      </c>
      <c r="B17" s="79" t="inlineStr">
        <is>
          <t>WILSON A</t>
        </is>
      </c>
      <c r="C17" s="79" t="inlineStr">
        <is>
          <t>08/06/2026 02:41:31</t>
        </is>
      </c>
      <c r="D17" s="3" t="n"/>
    </row>
    <row r="18" ht="18" customHeight="1">
      <c r="A18" s="79" t="inlineStr">
        <is>
          <t>1</t>
        </is>
      </c>
      <c r="B18" s="79" t="inlineStr">
        <is>
          <t>WILSON A</t>
        </is>
      </c>
      <c r="C18" s="79" t="inlineStr">
        <is>
          <t>08/06/2026 12:19:38</t>
        </is>
      </c>
      <c r="D18" s="3" t="n"/>
    </row>
    <row r="19" ht="18" customHeight="1">
      <c r="A19" s="79" t="inlineStr">
        <is>
          <t>1</t>
        </is>
      </c>
      <c r="B19" s="79" t="inlineStr">
        <is>
          <t>WILSON A</t>
        </is>
      </c>
      <c r="C19" s="79" t="inlineStr">
        <is>
          <t>09/06/2026 02:36:18</t>
        </is>
      </c>
      <c r="D19" s="3" t="n"/>
    </row>
    <row r="20" ht="18" customHeight="1">
      <c r="A20" s="79" t="inlineStr">
        <is>
          <t>1</t>
        </is>
      </c>
      <c r="B20" s="79" t="inlineStr">
        <is>
          <t>WILSON A</t>
        </is>
      </c>
      <c r="C20" s="79" t="inlineStr">
        <is>
          <t>09/06/2026 12:28:57</t>
        </is>
      </c>
      <c r="D20" s="3" t="n"/>
    </row>
    <row r="21" ht="18" customHeight="1">
      <c r="A21" s="79" t="inlineStr">
        <is>
          <t>1</t>
        </is>
      </c>
      <c r="B21" s="79" t="inlineStr">
        <is>
          <t>WILSON A</t>
        </is>
      </c>
      <c r="C21" s="79" t="inlineStr">
        <is>
          <t>10/06/2026 02:45:08</t>
        </is>
      </c>
      <c r="D21" s="3" t="n"/>
    </row>
    <row r="22" ht="18" customHeight="1">
      <c r="A22" s="79" t="inlineStr">
        <is>
          <t>1</t>
        </is>
      </c>
      <c r="B22" s="79" t="inlineStr">
        <is>
          <t>WILSON A</t>
        </is>
      </c>
      <c r="C22" s="79" t="inlineStr">
        <is>
          <t>10/06/2026 12:53:36</t>
        </is>
      </c>
      <c r="D22" s="3" t="n"/>
    </row>
    <row r="23" ht="18" customHeight="1">
      <c r="A23" s="79" t="inlineStr">
        <is>
          <t>1</t>
        </is>
      </c>
      <c r="B23" s="79" t="inlineStr">
        <is>
          <t>WILSON A</t>
        </is>
      </c>
      <c r="C23" s="79" t="inlineStr">
        <is>
          <t>11/06/2026 02:37:20</t>
        </is>
      </c>
      <c r="D23" s="3" t="n"/>
    </row>
    <row r="24" ht="18" customHeight="1">
      <c r="A24" s="79" t="inlineStr">
        <is>
          <t>1</t>
        </is>
      </c>
      <c r="B24" s="79" t="inlineStr">
        <is>
          <t>WILSON A</t>
        </is>
      </c>
      <c r="C24" s="79" t="inlineStr">
        <is>
          <t>11/06/2026 12:17:25</t>
        </is>
      </c>
      <c r="D24" s="3" t="n"/>
    </row>
    <row r="25" ht="18" customHeight="1">
      <c r="A25" s="79" t="inlineStr">
        <is>
          <t>1</t>
        </is>
      </c>
      <c r="B25" s="79" t="inlineStr">
        <is>
          <t>WILSON A</t>
        </is>
      </c>
      <c r="C25" s="79" t="inlineStr">
        <is>
          <t>12/06/2026 02:35:38</t>
        </is>
      </c>
      <c r="D25" s="3" t="n"/>
    </row>
    <row r="26" ht="18" customHeight="1">
      <c r="A26" s="79" t="inlineStr">
        <is>
          <t>1</t>
        </is>
      </c>
      <c r="B26" s="79" t="inlineStr">
        <is>
          <t>WILSON A</t>
        </is>
      </c>
      <c r="C26" s="79" t="inlineStr">
        <is>
          <t>12/06/2026 02:35:40</t>
        </is>
      </c>
      <c r="D26" s="3" t="n"/>
    </row>
    <row r="27" ht="18" customHeight="1">
      <c r="A27" s="79" t="inlineStr">
        <is>
          <t>1</t>
        </is>
      </c>
      <c r="B27" s="79" t="inlineStr">
        <is>
          <t>WILSON A</t>
        </is>
      </c>
      <c r="C27" s="79" t="inlineStr">
        <is>
          <t>12/06/2026 12:46:43</t>
        </is>
      </c>
      <c r="D27" s="3" t="n"/>
    </row>
    <row r="28" ht="18" customHeight="1">
      <c r="A28" s="79" t="inlineStr">
        <is>
          <t>1</t>
        </is>
      </c>
      <c r="B28" s="79" t="inlineStr">
        <is>
          <t>WILSON A</t>
        </is>
      </c>
      <c r="C28" s="79" t="inlineStr">
        <is>
          <t>13/06/2026 02:34:18</t>
        </is>
      </c>
      <c r="D28" s="3" t="n"/>
    </row>
    <row r="29" ht="18" customHeight="1">
      <c r="A29" s="79" t="inlineStr">
        <is>
          <t>1</t>
        </is>
      </c>
      <c r="B29" s="79" t="inlineStr">
        <is>
          <t>WILSON A</t>
        </is>
      </c>
      <c r="C29" s="79" t="inlineStr">
        <is>
          <t>13/06/2026 12:23:27</t>
        </is>
      </c>
      <c r="D29" s="3" t="n"/>
    </row>
    <row r="30" ht="18" customHeight="1">
      <c r="A30" s="79" t="inlineStr">
        <is>
          <t>1</t>
        </is>
      </c>
      <c r="B30" s="79" t="inlineStr">
        <is>
          <t>WILSON A</t>
        </is>
      </c>
      <c r="C30" s="79" t="inlineStr">
        <is>
          <t>13/06/2026 12:23:29</t>
        </is>
      </c>
      <c r="D30" s="3" t="n"/>
    </row>
    <row r="31" ht="18" customHeight="1">
      <c r="A31" s="79" t="inlineStr">
        <is>
          <t>1</t>
        </is>
      </c>
      <c r="B31" s="79" t="inlineStr">
        <is>
          <t>WILSON A</t>
        </is>
      </c>
      <c r="C31" s="79" t="inlineStr">
        <is>
          <t>15/06/2026 02:37:06</t>
        </is>
      </c>
      <c r="D31" s="3" t="n"/>
    </row>
    <row r="32" ht="18" customHeight="1">
      <c r="A32" s="79" t="inlineStr">
        <is>
          <t>1</t>
        </is>
      </c>
      <c r="B32" s="79" t="inlineStr">
        <is>
          <t>WILSON A</t>
        </is>
      </c>
      <c r="C32" s="79" t="inlineStr">
        <is>
          <t>15/06/2026 12:22:15</t>
        </is>
      </c>
      <c r="D32" s="3" t="n"/>
    </row>
    <row r="33" ht="18" customHeight="1">
      <c r="A33" s="79" t="inlineStr">
        <is>
          <t>1</t>
        </is>
      </c>
      <c r="B33" s="79" t="inlineStr">
        <is>
          <t>WILSON A</t>
        </is>
      </c>
      <c r="C33" s="79" t="inlineStr">
        <is>
          <t>16/06/2026 02:38:15</t>
        </is>
      </c>
      <c r="D33" s="3" t="n"/>
    </row>
    <row r="34" ht="18" customHeight="1">
      <c r="A34" s="79" t="inlineStr">
        <is>
          <t>1</t>
        </is>
      </c>
      <c r="B34" s="79" t="inlineStr">
        <is>
          <t>WILSON A</t>
        </is>
      </c>
      <c r="C34" s="79" t="inlineStr">
        <is>
          <t>16/06/2026 09:55:44</t>
        </is>
      </c>
      <c r="D34" s="3" t="n"/>
    </row>
    <row r="35" ht="18" customHeight="1">
      <c r="A35" s="79" t="inlineStr">
        <is>
          <t>1</t>
        </is>
      </c>
      <c r="B35" s="79" t="inlineStr">
        <is>
          <t>WILSON A</t>
        </is>
      </c>
      <c r="C35" s="79" t="inlineStr">
        <is>
          <t>17/06/2026 02:33:55</t>
        </is>
      </c>
      <c r="D35" s="3" t="n"/>
    </row>
    <row r="36" ht="18" customHeight="1">
      <c r="A36" s="79" t="inlineStr">
        <is>
          <t>1</t>
        </is>
      </c>
      <c r="B36" s="79" t="inlineStr">
        <is>
          <t>WILSON A</t>
        </is>
      </c>
      <c r="C36" s="79" t="inlineStr">
        <is>
          <t>17/06/2026 12:41:14</t>
        </is>
      </c>
      <c r="D36" s="3" t="n"/>
    </row>
    <row r="37" ht="18" customHeight="1">
      <c r="A37" s="79" t="inlineStr">
        <is>
          <t>1</t>
        </is>
      </c>
      <c r="B37" s="79" t="inlineStr">
        <is>
          <t>WILSON A</t>
        </is>
      </c>
      <c r="C37" s="79" t="inlineStr">
        <is>
          <t>18/06/2026 02:33:27</t>
        </is>
      </c>
      <c r="D37" s="3" t="n"/>
    </row>
    <row r="38" ht="18" customHeight="1">
      <c r="A38" s="79" t="inlineStr">
        <is>
          <t>1</t>
        </is>
      </c>
      <c r="B38" s="79" t="inlineStr">
        <is>
          <t>WILSON A</t>
        </is>
      </c>
      <c r="C38" s="79" t="inlineStr">
        <is>
          <t>18/06/2026 02:33:29</t>
        </is>
      </c>
      <c r="D38" s="3" t="n"/>
    </row>
    <row r="39" ht="18" customHeight="1">
      <c r="A39" s="79" t="inlineStr">
        <is>
          <t>1</t>
        </is>
      </c>
      <c r="B39" s="79" t="inlineStr">
        <is>
          <t>WILSON A</t>
        </is>
      </c>
      <c r="C39" s="79" t="inlineStr">
        <is>
          <t>18/06/2026 12:25:34</t>
        </is>
      </c>
      <c r="D39" s="3" t="n"/>
    </row>
    <row r="40" ht="18" customHeight="1">
      <c r="A40" s="63" t="n"/>
      <c r="B40" s="63" t="n"/>
      <c r="C40" s="63" t="n"/>
      <c r="D40" s="3" t="n"/>
    </row>
    <row r="41" ht="18" customHeight="1">
      <c r="A41" s="63" t="n"/>
      <c r="B41" s="63" t="n"/>
      <c r="C41" s="63" t="n"/>
      <c r="D41" s="3" t="n"/>
    </row>
    <row r="42" ht="18" customHeight="1">
      <c r="A42" s="63" t="n"/>
      <c r="B42" s="63" t="n"/>
      <c r="C42" s="63" t="n"/>
      <c r="D42" s="3" t="n"/>
    </row>
    <row r="43" ht="18" customHeight="1">
      <c r="A43" s="63" t="n"/>
      <c r="B43" s="63" t="n"/>
      <c r="C43" s="63" t="n"/>
    </row>
    <row r="44" ht="18" customHeight="1">
      <c r="A44" s="63" t="n"/>
      <c r="B44" s="63" t="n"/>
      <c r="C44" s="63" t="n"/>
    </row>
    <row r="45" ht="18" customHeight="1">
      <c r="A45" s="63" t="n"/>
      <c r="B45" s="63" t="n"/>
      <c r="C45" s="63" t="n"/>
    </row>
    <row r="46" ht="18" customHeight="1">
      <c r="A46" s="63" t="n"/>
      <c r="B46" s="63" t="n"/>
      <c r="C46" s="63" t="n"/>
    </row>
    <row r="47" ht="18" customHeight="1">
      <c r="A47" s="63" t="n"/>
      <c r="B47" s="63" t="n"/>
      <c r="C47" s="63" t="n"/>
    </row>
    <row r="48" ht="18" customHeight="1">
      <c r="A48" s="63" t="n"/>
      <c r="B48" s="63" t="n"/>
      <c r="C48" s="63" t="n"/>
    </row>
    <row r="49" ht="17.25" customHeight="1">
      <c r="A49" s="63" t="n"/>
      <c r="B49" s="63" t="n"/>
      <c r="C49" s="63" t="n"/>
    </row>
    <row r="50" ht="17.25" customHeight="1">
      <c r="A50" s="63" t="n"/>
      <c r="B50" s="63" t="n"/>
      <c r="C50" s="63" t="n"/>
    </row>
    <row r="51" ht="17.25" customHeight="1">
      <c r="A51" s="63" t="n"/>
      <c r="B51" s="63" t="n"/>
      <c r="C51" s="63" t="n"/>
      <c r="F51" s="4" t="n"/>
    </row>
    <row r="52" ht="17.25" customHeight="1">
      <c r="A52" s="62" t="n"/>
      <c r="B52" s="62" t="n"/>
      <c r="C52" s="62" t="n"/>
    </row>
    <row r="53" ht="17.25" customHeight="1">
      <c r="A53" s="62" t="n"/>
      <c r="B53" s="62" t="n"/>
      <c r="C53" s="62" t="n"/>
    </row>
    <row r="54" ht="15.75" customHeight="1">
      <c r="A54" s="62" t="n"/>
      <c r="B54" s="62" t="n"/>
      <c r="C54" s="62" t="n"/>
    </row>
    <row r="55" ht="15.75" customHeight="1">
      <c r="A55" s="62" t="n"/>
      <c r="B55" s="62" t="n"/>
      <c r="C55" s="62" t="n"/>
    </row>
    <row r="56" ht="15.75" customHeight="1">
      <c r="A56" s="62" t="n"/>
      <c r="B56" s="62" t="n"/>
      <c r="C56" s="62" t="n"/>
      <c r="D56" s="3" t="n"/>
    </row>
    <row r="57" ht="15.75" customHeight="1">
      <c r="A57" s="62" t="n"/>
      <c r="B57" s="62" t="n"/>
      <c r="C57" s="62" t="n"/>
      <c r="D57" s="3" t="n"/>
    </row>
    <row r="58" ht="15.75" customHeight="1">
      <c r="A58" s="62" t="n"/>
      <c r="B58" s="62" t="n"/>
      <c r="C58" s="62" t="n"/>
    </row>
    <row r="59" ht="15.75" customHeight="1">
      <c r="A59" s="62" t="n"/>
      <c r="B59" s="62" t="n"/>
      <c r="C59" s="62" t="n"/>
    </row>
  </sheetData>
  <pageMargins left="0.7480314960629921" right="0.7480314960629921" top="0.3543307086614174" bottom="0.3937007874015748" header="0.33" footer="0.5118110236220472"/>
  <pageSetup orientation="portrait" scale="70" horizontalDpi="4294967293" verticalDpi="7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62410"/>
  <sheetViews>
    <sheetView tabSelected="1" topLeftCell="A6" zoomScaleNormal="100" workbookViewId="0">
      <selection activeCell="G23" sqref="G23"/>
    </sheetView>
  </sheetViews>
  <sheetFormatPr baseColWidth="10" defaultRowHeight="12"/>
  <cols>
    <col width="4.7109375" customWidth="1" style="5" min="1" max="1"/>
    <col width="13.7109375" customWidth="1" style="5" min="2" max="2"/>
    <col width="10" customWidth="1" style="5" min="3" max="3"/>
    <col width="10.28515625" customWidth="1" style="5" min="4" max="4"/>
    <col width="11.5703125" customWidth="1" style="6" min="5" max="5"/>
    <col width="10.5703125" customWidth="1" style="7" min="6" max="6"/>
    <col width="10.28515625" customWidth="1" style="5" min="7" max="7"/>
    <col width="9.85546875" customWidth="1" style="5" min="8" max="10"/>
    <col width="10" customWidth="1" style="5" min="11" max="11"/>
    <col width="8.7109375" customWidth="1" style="5" min="12" max="12"/>
    <col width="10.5703125" customWidth="1" style="5" min="13" max="13"/>
    <col width="10.7109375" customWidth="1" style="5" min="14" max="14"/>
    <col width="10.5703125" customWidth="1" style="38" min="15" max="15"/>
    <col width="10.5703125" customWidth="1" style="5" min="16" max="16"/>
    <col width="9.85546875" customWidth="1" style="5" min="17" max="17"/>
    <col width="10.85546875" customWidth="1" style="5" min="18" max="18"/>
    <col width="12.7109375" customWidth="1" style="5" min="19" max="19"/>
    <col width="11.28515625" customWidth="1" style="5" min="20" max="20"/>
    <col width="10.140625" customWidth="1" style="5" min="21" max="21"/>
    <col width="11.42578125" customWidth="1" style="5" min="22" max="16384"/>
  </cols>
  <sheetData>
    <row r="1">
      <c r="A1" s="5" t="inlineStr">
        <is>
          <t>ZAIDA DIDONATO</t>
        </is>
      </c>
      <c r="O1" s="5" t="n"/>
      <c r="R1" s="65" t="n"/>
      <c r="S1" s="65" t="n"/>
      <c r="T1" s="65" t="n"/>
      <c r="U1" s="65" t="n"/>
    </row>
    <row r="2">
      <c r="A2" s="5" t="inlineStr">
        <is>
          <t>REPORTES DE HORAS RELOJ junio 2026</t>
        </is>
      </c>
      <c r="O2" s="5" t="n"/>
      <c r="R2" s="65" t="n"/>
      <c r="S2" s="72" t="inlineStr">
        <is>
          <t>HORARIO</t>
        </is>
      </c>
      <c r="T2" s="66" t="inlineStr">
        <is>
          <t>ENTRADA</t>
        </is>
      </c>
      <c r="U2" s="66" t="inlineStr">
        <is>
          <t>SALIDA</t>
        </is>
      </c>
    </row>
    <row r="3">
      <c r="A3" s="5" t="inlineStr">
        <is>
          <t>WILSON ARIAS</t>
        </is>
      </c>
      <c r="O3" s="5" t="n"/>
      <c r="R3" s="65" t="n"/>
      <c r="T3" s="67" t="n">
        <v>0.1666666666666667</v>
      </c>
      <c r="U3" s="68" t="n">
        <v>0.6041666666666666</v>
      </c>
    </row>
    <row r="4">
      <c r="A4" s="9" t="n"/>
      <c r="O4" s="5" t="n"/>
      <c r="R4" s="65" t="n"/>
      <c r="S4" s="65" t="n"/>
      <c r="T4" s="65" t="n"/>
      <c r="U4" s="65" t="n"/>
    </row>
    <row r="5" ht="15.75" customHeight="1">
      <c r="A5" s="9" t="n"/>
      <c r="O5" s="5" t="n"/>
    </row>
    <row r="6" ht="12.75" customHeight="1">
      <c r="A6" s="73" t="inlineStr">
        <is>
          <t>Emp No.</t>
        </is>
      </c>
      <c r="B6" s="73" t="inlineStr">
        <is>
          <t>Fecha</t>
        </is>
      </c>
      <c r="C6" s="73" t="inlineStr">
        <is>
          <t>Entrada</t>
        </is>
      </c>
      <c r="D6" s="73" t="inlineStr">
        <is>
          <t>Salida</t>
        </is>
      </c>
      <c r="E6" s="74" t="inlineStr">
        <is>
          <t>Marco Entrada</t>
        </is>
      </c>
      <c r="F6" s="74" t="inlineStr">
        <is>
          <t>Marco        Salida</t>
        </is>
      </c>
      <c r="G6" s="75" t="inlineStr">
        <is>
          <t>CONTROL ASISTENCIA</t>
        </is>
      </c>
      <c r="H6" s="80" t="n"/>
      <c r="I6" s="80" t="n"/>
      <c r="J6" s="80" t="n"/>
      <c r="K6" s="80" t="n"/>
      <c r="L6" s="81" t="n"/>
      <c r="M6" s="76" t="inlineStr">
        <is>
          <t>Horas nocturnas, suplementarias y extraordinarias</t>
        </is>
      </c>
      <c r="N6" s="80" t="n"/>
      <c r="O6" s="80" t="n"/>
      <c r="P6" s="80" t="n"/>
      <c r="Q6" s="80" t="n"/>
      <c r="R6" s="80" t="n"/>
      <c r="S6" s="80" t="n"/>
      <c r="T6" s="80" t="n"/>
      <c r="U6" s="81" t="n"/>
    </row>
    <row r="7" ht="52.5" customHeight="1">
      <c r="A7" s="82" t="n"/>
      <c r="B7" s="82" t="n"/>
      <c r="C7" s="82" t="n"/>
      <c r="D7" s="82" t="n"/>
      <c r="E7" s="82" t="n"/>
      <c r="F7" s="82" t="n"/>
      <c r="G7" s="11" t="inlineStr">
        <is>
          <t>Entrada</t>
        </is>
      </c>
      <c r="H7" s="11" t="inlineStr">
        <is>
          <t>Salida</t>
        </is>
      </c>
      <c r="I7" s="11" t="inlineStr">
        <is>
          <t>TOTAL</t>
        </is>
      </c>
      <c r="J7" s="11" t="inlineStr">
        <is>
          <t>Atraso</t>
        </is>
      </c>
      <c r="K7" s="11" t="inlineStr">
        <is>
          <t>Salida Temprano</t>
        </is>
      </c>
      <c r="L7" s="12" t="inlineStr">
        <is>
          <t>TOTAL</t>
        </is>
      </c>
      <c r="M7" s="75" t="inlineStr">
        <is>
          <t>Horario nocturno  base       mañana</t>
        </is>
      </c>
      <c r="N7" s="75" t="inlineStr">
        <is>
          <t xml:space="preserve">Horas Nocturnas </t>
        </is>
      </c>
      <c r="O7" s="75" t="inlineStr">
        <is>
          <t>Horas Suplement Base</t>
        </is>
      </c>
      <c r="P7" s="75" t="inlineStr">
        <is>
          <t>Horario normal</t>
        </is>
      </c>
      <c r="Q7" s="75" t="inlineStr">
        <is>
          <t>Comida</t>
        </is>
      </c>
      <c r="R7" s="75" t="inlineStr">
        <is>
          <t xml:space="preserve">Horas Suplementarias </t>
        </is>
      </c>
      <c r="S7" s="75" t="inlineStr">
        <is>
          <t>Horas Extraordinarias     base</t>
        </is>
      </c>
      <c r="T7" s="75" t="inlineStr">
        <is>
          <t>Comida</t>
        </is>
      </c>
      <c r="U7" s="75" t="inlineStr">
        <is>
          <t xml:space="preserve">Horas Extraordinarias </t>
        </is>
      </c>
    </row>
    <row r="8" ht="14.25" customHeight="1">
      <c r="A8" s="13" t="n">
        <v>1</v>
      </c>
      <c r="B8" s="83" t="n">
        <v>46143</v>
      </c>
      <c r="C8" s="61" t="n">
        <v>0.125</v>
      </c>
      <c r="D8" s="61" t="n">
        <v>0.46875</v>
      </c>
      <c r="E8" s="84" t="n">
        <v>0.1121296296296296</v>
      </c>
      <c r="F8" s="85" t="n">
        <v>0.5378356481481481</v>
      </c>
      <c r="G8" s="17">
        <f>IF(C8-E8&gt;0,+C8-E8,0)</f>
        <v/>
      </c>
      <c r="H8" s="17">
        <f>IF(F8-D8&gt;0,+F8-D8,0)</f>
        <v/>
      </c>
      <c r="I8" s="17">
        <f>SUM(G8:H8)</f>
        <v/>
      </c>
      <c r="J8" s="17">
        <f>IF(C8-E8&lt;0,+(+C8-E8)*-1,0)</f>
        <v/>
      </c>
      <c r="K8" s="17">
        <f>IF(F8-D8&lt;0,+(+F8-D8)*-1,0)</f>
        <v/>
      </c>
      <c r="L8" s="18">
        <f>+J8+K8</f>
        <v/>
      </c>
      <c r="M8" s="8" t="n">
        <v>0.25</v>
      </c>
      <c r="N8" s="8">
        <f>IF(M8-E8&gt;0,M8-E8,0)</f>
        <v/>
      </c>
      <c r="O8" s="19">
        <f>+F8-E8</f>
        <v/>
      </c>
      <c r="P8" s="20" t="n">
        <v>0.3333333333333333</v>
      </c>
      <c r="Q8" s="8" t="n">
        <v>0.01041666666666667</v>
      </c>
      <c r="R8" s="20" t="n"/>
      <c r="S8" s="20" t="n"/>
      <c r="T8" s="20" t="n"/>
      <c r="U8" s="20" t="n"/>
    </row>
    <row r="9" ht="14.25" customHeight="1">
      <c r="A9" s="13" t="n">
        <v>1</v>
      </c>
      <c r="B9" s="83" t="n">
        <v>46144</v>
      </c>
      <c r="C9" s="61" t="n">
        <v>0.125</v>
      </c>
      <c r="D9" s="61" t="n">
        <v>0.46875</v>
      </c>
      <c r="E9" s="84" t="n">
        <v>0.1096759259259259</v>
      </c>
      <c r="F9" s="85" t="n">
        <v>0.5279398148148148</v>
      </c>
      <c r="G9" s="17">
        <f>IF(C9-E9&gt;0,+C9-E9,0)</f>
        <v/>
      </c>
      <c r="H9" s="17">
        <f>IF(F9-D9&gt;0,+F9-D9,0)</f>
        <v/>
      </c>
      <c r="I9" s="17">
        <f>SUM(G9:H9)</f>
        <v/>
      </c>
      <c r="J9" s="17">
        <f>IF(C9-E9&lt;0,+(+C9-E9)*-1,0)</f>
        <v/>
      </c>
      <c r="K9" s="17">
        <f>IF(F9-D9&lt;0,+(+F9-D9)*-1,0)</f>
        <v/>
      </c>
      <c r="L9" s="18">
        <f>+J9+K9</f>
        <v/>
      </c>
      <c r="M9" s="8" t="n">
        <v>0.25</v>
      </c>
      <c r="N9" s="8">
        <f>IF(M9-E9&gt;0,M9-E9,0)</f>
        <v/>
      </c>
      <c r="O9" s="19">
        <f>+F9-E9</f>
        <v/>
      </c>
      <c r="P9" s="20" t="n">
        <v>0.3333333333333333</v>
      </c>
      <c r="Q9" s="8" t="n">
        <v>0.01041666666666667</v>
      </c>
      <c r="R9" s="20" t="n"/>
      <c r="S9" s="20" t="n"/>
      <c r="T9" s="20" t="n"/>
      <c r="U9" s="20" t="n"/>
    </row>
    <row r="10" ht="14.25" customHeight="1">
      <c r="A10" s="13" t="n">
        <v>1</v>
      </c>
      <c r="B10" s="83" t="n">
        <v>46146</v>
      </c>
      <c r="C10" s="61" t="n">
        <v>0.125</v>
      </c>
      <c r="D10" s="61" t="n">
        <v>0.46875</v>
      </c>
      <c r="E10" s="84" t="n">
        <v>0.2149652777777778</v>
      </c>
      <c r="F10" s="85" t="n">
        <v>0.5755092592592592</v>
      </c>
      <c r="G10" s="17">
        <f>IF(C10-E10&gt;0,+C10-E10,0)</f>
        <v/>
      </c>
      <c r="H10" s="17">
        <f>IF(F10-D10&gt;0,+F10-D10,0)</f>
        <v/>
      </c>
      <c r="I10" s="17">
        <f>SUM(G10:H10)</f>
        <v/>
      </c>
      <c r="J10" s="17">
        <f>IF(C10-E10&lt;0,+(+C10-E10)*-1,0)</f>
        <v/>
      </c>
      <c r="K10" s="17">
        <f>IF(F10-D10&lt;0,+(+F10-D10)*-1,0)</f>
        <v/>
      </c>
      <c r="L10" s="18">
        <f>+J10+K10</f>
        <v/>
      </c>
      <c r="M10" s="8" t="n">
        <v>0.25</v>
      </c>
      <c r="N10" s="8">
        <f>IF(M10-E10&gt;0,M10-E10,0)</f>
        <v/>
      </c>
      <c r="O10" s="19">
        <f>+F10-E10</f>
        <v/>
      </c>
      <c r="P10" s="20" t="n">
        <v>0.3333333333333333</v>
      </c>
      <c r="Q10" s="8" t="n">
        <v>0.01041666666666667</v>
      </c>
      <c r="R10" s="20" t="n"/>
      <c r="S10" s="20" t="n"/>
      <c r="T10" s="20" t="n"/>
      <c r="U10" s="20" t="n"/>
    </row>
    <row r="11" ht="14.25" customHeight="1">
      <c r="A11" s="13" t="n">
        <v>1</v>
      </c>
      <c r="B11" s="83" t="n">
        <v>46147</v>
      </c>
      <c r="C11" s="61" t="n">
        <v>0.125</v>
      </c>
      <c r="D11" s="61" t="n">
        <v>0.46875</v>
      </c>
      <c r="E11" s="84" t="n">
        <v>0.2127546296296296</v>
      </c>
      <c r="F11" s="85" t="n">
        <v>0.5801736111111111</v>
      </c>
      <c r="G11" s="17">
        <f>IF(C11-E11&gt;0,+C11-E11,0)</f>
        <v/>
      </c>
      <c r="H11" s="17">
        <f>IF(F11-D11&gt;0,+F11-D11,0)</f>
        <v/>
      </c>
      <c r="I11" s="17">
        <f>SUM(G11:H11)</f>
        <v/>
      </c>
      <c r="J11" s="17">
        <f>IF(C11-E11&lt;0,+(+C11-E11)*-1,0)</f>
        <v/>
      </c>
      <c r="K11" s="17">
        <f>IF(F11-D11&lt;0,+(+F11-D11)*-1,0)</f>
        <v/>
      </c>
      <c r="L11" s="18">
        <f>+J11+K11</f>
        <v/>
      </c>
      <c r="M11" s="8" t="n">
        <v>0.25</v>
      </c>
      <c r="N11" s="8">
        <f>IF(M11-E11&gt;0,M11-E11,0)</f>
        <v/>
      </c>
      <c r="O11" s="19">
        <f>+F11-E11</f>
        <v/>
      </c>
      <c r="P11" s="20" t="n">
        <v>0.3333333333333333</v>
      </c>
      <c r="Q11" s="8" t="n">
        <v>0.01041666666666667</v>
      </c>
      <c r="R11" s="20" t="n"/>
      <c r="S11" s="20" t="n"/>
      <c r="T11" s="20" t="n"/>
      <c r="U11" s="20" t="n"/>
    </row>
    <row r="12" ht="14.25" customHeight="1">
      <c r="A12" s="13" t="n">
        <v>1</v>
      </c>
      <c r="B12" s="83" t="n">
        <v>46148</v>
      </c>
      <c r="C12" s="61" t="n">
        <v>0.125</v>
      </c>
      <c r="D12" s="61" t="n">
        <v>0.46875</v>
      </c>
      <c r="E12" s="84" t="n">
        <v>0.2095717592592592</v>
      </c>
      <c r="F12" s="85" t="n">
        <v>0.5562731481481481</v>
      </c>
      <c r="G12" s="17">
        <f>IF(C12-E12&gt;0,+C12-E12,0)</f>
        <v/>
      </c>
      <c r="H12" s="17">
        <f>IF(F12-D12&gt;0,+F12-D12,0)</f>
        <v/>
      </c>
      <c r="I12" s="17">
        <f>SUM(G12:H12)</f>
        <v/>
      </c>
      <c r="J12" s="17">
        <f>IF(C12-E12&lt;0,+(+C12-E12)*-1,0)</f>
        <v/>
      </c>
      <c r="K12" s="17">
        <f>IF(F12-D12&lt;0,+(+F12-D12)*-1,0)</f>
        <v/>
      </c>
      <c r="L12" s="18">
        <f>+J12+K12</f>
        <v/>
      </c>
      <c r="M12" s="8" t="n">
        <v>0.25</v>
      </c>
      <c r="N12" s="8">
        <f>IF(M12-E12&gt;0,M12-E12,0)</f>
        <v/>
      </c>
      <c r="O12" s="19">
        <f>+F12-E12</f>
        <v/>
      </c>
      <c r="P12" s="20" t="n">
        <v>0.3333333333333333</v>
      </c>
      <c r="Q12" s="8" t="n">
        <v>0.01041666666666667</v>
      </c>
      <c r="R12" s="20" t="n"/>
      <c r="S12" s="20" t="n"/>
      <c r="T12" s="20" t="n"/>
      <c r="U12" s="20" t="n"/>
    </row>
    <row r="13" ht="14.25" customHeight="1">
      <c r="A13" s="21" t="n">
        <v>1</v>
      </c>
      <c r="B13" s="86" t="n">
        <v>46149</v>
      </c>
      <c r="C13" s="23" t="n">
        <v>0.125</v>
      </c>
      <c r="D13" s="23" t="n">
        <v>0.46875</v>
      </c>
      <c r="E13" s="87" t="n">
        <v>0.2065162037037037</v>
      </c>
      <c r="F13" s="88" t="n">
        <v>0.5924074074074074</v>
      </c>
      <c r="G13" s="26">
        <f>IF(C13-E13&gt;0,+C13-E13,0)</f>
        <v/>
      </c>
      <c r="H13" s="26">
        <f>IF(F13-D13&gt;0,+F13-D13,0)</f>
        <v/>
      </c>
      <c r="I13" s="26">
        <f>SUM(G13:H13)</f>
        <v/>
      </c>
      <c r="J13" s="26">
        <f>IF(C13-E13&lt;0,+(+C13-E13)*-1,0)</f>
        <v/>
      </c>
      <c r="K13" s="26">
        <f>IF(F13-D13&lt;0,+(+F13-D13)*-1,0)</f>
        <v/>
      </c>
      <c r="L13" s="27">
        <f>+J13+K13</f>
        <v/>
      </c>
      <c r="M13" s="28" t="n"/>
      <c r="N13" s="28" t="n"/>
      <c r="O13" s="29">
        <f>+F13-E13</f>
        <v/>
      </c>
      <c r="P13" s="29" t="n"/>
      <c r="Q13" s="28" t="n"/>
      <c r="R13" s="29" t="n"/>
      <c r="S13" s="29">
        <f>+F13-E13</f>
        <v/>
      </c>
      <c r="T13" s="29" t="n">
        <v>0.01041666666666667</v>
      </c>
      <c r="U13" s="29">
        <f>+S13-T13</f>
        <v/>
      </c>
    </row>
    <row r="14" ht="14.25" customHeight="1">
      <c r="A14" s="13" t="n">
        <v>1</v>
      </c>
      <c r="B14" s="83" t="n">
        <v>46150</v>
      </c>
      <c r="C14" s="61" t="n">
        <v>0.125</v>
      </c>
      <c r="D14" s="61" t="n">
        <v>0.46875</v>
      </c>
      <c r="E14" s="84" t="n">
        <v>0.2043402777777778</v>
      </c>
      <c r="F14" s="85" t="n">
        <v>0.5781597222222222</v>
      </c>
      <c r="G14" s="17">
        <f>IF(C14-E14&gt;0,+C14-E14,0)</f>
        <v/>
      </c>
      <c r="H14" s="17">
        <f>IF(F14-D14&gt;0,+F14-D14,0)</f>
        <v/>
      </c>
      <c r="I14" s="17">
        <f>SUM(G14:H14)</f>
        <v/>
      </c>
      <c r="J14" s="17">
        <f>IF(C14-E14&lt;0,+(+C14-E14)*-1,0)</f>
        <v/>
      </c>
      <c r="K14" s="17">
        <f>IF(F14-D14&lt;0,+(+F14-D14)*-1,0)</f>
        <v/>
      </c>
      <c r="L14" s="18">
        <f>+J14+K14</f>
        <v/>
      </c>
      <c r="M14" s="8" t="n">
        <v>0.25</v>
      </c>
      <c r="N14" s="8">
        <f>IF(M14-E14&gt;0,M14-E14,0)</f>
        <v/>
      </c>
      <c r="O14" s="19">
        <f>+F14-E14</f>
        <v/>
      </c>
      <c r="P14" s="20" t="n">
        <v>0.3333333333333333</v>
      </c>
      <c r="Q14" s="8" t="n">
        <v>0.01041666666666667</v>
      </c>
      <c r="R14" s="20" t="n"/>
      <c r="S14" s="20" t="n"/>
      <c r="T14" s="20" t="n"/>
      <c r="U14" s="20" t="n"/>
    </row>
    <row r="15" ht="14.25" customHeight="1">
      <c r="A15" s="13" t="n">
        <v>1</v>
      </c>
      <c r="B15" s="83" t="n">
        <v>46151</v>
      </c>
      <c r="C15" s="61" t="n">
        <v>0.125</v>
      </c>
      <c r="D15" s="61" t="n">
        <v>0.46875</v>
      </c>
      <c r="E15" s="84" t="n">
        <v>0.2026041666666667</v>
      </c>
      <c r="F15" s="85" t="n">
        <v>0.5690277777777778</v>
      </c>
      <c r="G15" s="17">
        <f>IF(C15-E15&gt;0,+C15-E15,0)</f>
        <v/>
      </c>
      <c r="H15" s="17">
        <f>IF(F15-D15&gt;0,+F15-D15,0)</f>
        <v/>
      </c>
      <c r="I15" s="17">
        <f>SUM(G15:H15)</f>
        <v/>
      </c>
      <c r="J15" s="17">
        <f>IF(C15-E15&lt;0,+(+C15-E15)*-1,0)</f>
        <v/>
      </c>
      <c r="K15" s="17">
        <f>IF(F15-D15&lt;0,+(+F15-D15)*-1,0)</f>
        <v/>
      </c>
      <c r="L15" s="18">
        <f>+J15+K15</f>
        <v/>
      </c>
      <c r="M15" s="8" t="n">
        <v>0.25</v>
      </c>
      <c r="N15" s="8">
        <f>IF(M15-E15&gt;0,M15-E15,0)</f>
        <v/>
      </c>
      <c r="O15" s="19">
        <f>+F15-E15</f>
        <v/>
      </c>
      <c r="P15" s="20" t="n">
        <v>0.3333333333333333</v>
      </c>
      <c r="Q15" s="8" t="n">
        <v>0.01041666666666667</v>
      </c>
      <c r="R15" s="64" t="n"/>
      <c r="S15" s="20" t="n"/>
      <c r="T15" s="20" t="n"/>
      <c r="U15" s="20" t="n"/>
    </row>
    <row r="16" ht="14.25" customHeight="1">
      <c r="A16" s="13" t="n">
        <v>1</v>
      </c>
      <c r="B16" s="83" t="n">
        <v>46153</v>
      </c>
      <c r="C16" s="61" t="n">
        <v>0.125</v>
      </c>
      <c r="D16" s="61" t="n">
        <v>0.46875</v>
      </c>
      <c r="E16" s="84" t="n">
        <v>0.2044907407407408</v>
      </c>
      <c r="F16" s="85" t="n">
        <v>0.5683101851851852</v>
      </c>
      <c r="G16" s="17">
        <f>IF(C16-E16&gt;0,+C16-E16,0)</f>
        <v/>
      </c>
      <c r="H16" s="17">
        <f>IF(F16-D16&gt;0,+F16-D16,0)</f>
        <v/>
      </c>
      <c r="I16" s="17">
        <f>SUM(G16:H16)</f>
        <v/>
      </c>
      <c r="J16" s="17">
        <f>IF(C16-E16&lt;0,+(+C16-E16)*-1,0)</f>
        <v/>
      </c>
      <c r="K16" s="17">
        <f>IF(F16-D16&lt;0,+(+F16-D16)*-1,0)</f>
        <v/>
      </c>
      <c r="L16" s="18">
        <f>+J16+K16</f>
        <v/>
      </c>
      <c r="M16" s="8" t="n">
        <v>0.25</v>
      </c>
      <c r="N16" s="8">
        <f>IF(M16-E16&gt;0,M16-E16,0)</f>
        <v/>
      </c>
      <c r="O16" s="19">
        <f>+F16-E16</f>
        <v/>
      </c>
      <c r="P16" s="20" t="n">
        <v>0.3333333333333333</v>
      </c>
      <c r="Q16" s="8" t="n">
        <v>0.01041666666666667</v>
      </c>
      <c r="R16" s="20" t="n"/>
      <c r="S16" s="20" t="n"/>
      <c r="T16" s="20" t="n"/>
      <c r="U16" s="20" t="n"/>
    </row>
    <row r="17" ht="14.25" customHeight="1">
      <c r="A17" s="13" t="n">
        <v>1</v>
      </c>
      <c r="B17" s="83" t="n">
        <v>46154</v>
      </c>
      <c r="C17" s="61" t="n">
        <v>0.125</v>
      </c>
      <c r="D17" s="61" t="n">
        <v>0.46875</v>
      </c>
      <c r="E17" s="84" t="n">
        <v>0.2043865740740741</v>
      </c>
      <c r="F17" s="85" t="n">
        <v>0.5302430555555555</v>
      </c>
      <c r="G17" s="17">
        <f>IF(C17-E17&gt;0,+C17-E17,0)</f>
        <v/>
      </c>
      <c r="H17" s="17">
        <f>IF(F17-D17&gt;0,+F17-D17,0)</f>
        <v/>
      </c>
      <c r="I17" s="17">
        <f>SUM(G17:H17)</f>
        <v/>
      </c>
      <c r="J17" s="17">
        <f>IF(C17-E17&lt;0,+(+C17-E17)*-1,0)</f>
        <v/>
      </c>
      <c r="K17" s="17">
        <f>IF(F17-D17&lt;0,+(+F17-D17)*-1,0)</f>
        <v/>
      </c>
      <c r="L17" s="18">
        <f>+J17+K17</f>
        <v/>
      </c>
      <c r="M17" s="8" t="n">
        <v>0.25</v>
      </c>
      <c r="N17" s="8">
        <f>IF(M17-E17&gt;0,M17-E17,0)</f>
        <v/>
      </c>
      <c r="O17" s="19">
        <f>+F17-E17</f>
        <v/>
      </c>
      <c r="P17" s="20" t="n">
        <v>0.3333333333333333</v>
      </c>
      <c r="Q17" s="8" t="n">
        <v>0.01041666666666667</v>
      </c>
      <c r="R17" s="64" t="n"/>
      <c r="S17" s="20" t="n"/>
      <c r="T17" s="20" t="n"/>
      <c r="U17" s="20" t="n"/>
    </row>
    <row r="18" ht="14.25" customHeight="1">
      <c r="A18" s="13" t="n">
        <v>1</v>
      </c>
      <c r="B18" s="83" t="n">
        <v>46155</v>
      </c>
      <c r="C18" s="61" t="n">
        <v>0.125</v>
      </c>
      <c r="D18" s="61" t="n">
        <v>0.46875</v>
      </c>
      <c r="E18" s="84" t="n">
        <v>0.1999074074074074</v>
      </c>
      <c r="F18" s="85" t="n">
        <v>0.5791782407407408</v>
      </c>
      <c r="G18" s="17">
        <f>IF(C18-E18&gt;0,+C18-E18,0)</f>
        <v/>
      </c>
      <c r="H18" s="17">
        <f>IF(F18-D18&gt;0,+F18-D18,0)</f>
        <v/>
      </c>
      <c r="I18" s="17">
        <f>SUM(G18:H18)</f>
        <v/>
      </c>
      <c r="J18" s="17">
        <f>IF(C18-E18&lt;0,+(+C18-E18)*-1,0)</f>
        <v/>
      </c>
      <c r="K18" s="17">
        <f>IF(F18-D18&lt;0,+(+F18-D18)*-1,0)</f>
        <v/>
      </c>
      <c r="L18" s="18">
        <f>+J18+K18</f>
        <v/>
      </c>
      <c r="M18" s="8" t="n">
        <v>0.25</v>
      </c>
      <c r="N18" s="8">
        <f>IF(M18-E18&gt;0,M18-E18,0)</f>
        <v/>
      </c>
      <c r="O18" s="19">
        <f>+F18-E18</f>
        <v/>
      </c>
      <c r="P18" s="20" t="n">
        <v>0.3333333333333333</v>
      </c>
      <c r="Q18" s="8" t="n">
        <v>0.01041666666666667</v>
      </c>
      <c r="R18" s="64" t="n"/>
      <c r="S18" s="20" t="n"/>
      <c r="T18" s="20" t="n"/>
      <c r="U18" s="20" t="n"/>
    </row>
    <row r="19" ht="14.25" customHeight="1">
      <c r="A19" s="21" t="n">
        <v>1</v>
      </c>
      <c r="B19" s="86" t="n">
        <v>46156</v>
      </c>
      <c r="C19" s="23" t="n">
        <v>0.125</v>
      </c>
      <c r="D19" s="23" t="n">
        <v>0.46875</v>
      </c>
      <c r="E19" s="87" t="n">
        <v>0.1994791666666667</v>
      </c>
      <c r="F19" s="88" t="n">
        <v>0.5360995370370371</v>
      </c>
      <c r="G19" s="26">
        <f>IF(C19-E19&gt;0,+C19-E19,0)</f>
        <v/>
      </c>
      <c r="H19" s="26">
        <f>IF(F19-D19&gt;0,+F19-D19,0)</f>
        <v/>
      </c>
      <c r="I19" s="26">
        <f>SUM(G19:H19)</f>
        <v/>
      </c>
      <c r="J19" s="26">
        <f>IF(C19-E19&lt;0,+(+C19-E19)*-1,0)</f>
        <v/>
      </c>
      <c r="K19" s="26">
        <f>IF(F19-D19&lt;0,+(+F19-D19)*-1,0)</f>
        <v/>
      </c>
      <c r="L19" s="27">
        <f>+J19+K19</f>
        <v/>
      </c>
      <c r="M19" s="28" t="n"/>
      <c r="N19" s="28" t="n"/>
      <c r="O19" s="29">
        <f>+F19-E19</f>
        <v/>
      </c>
      <c r="P19" s="29" t="n"/>
      <c r="Q19" s="28" t="n"/>
      <c r="R19" s="29" t="n"/>
      <c r="S19" s="29">
        <f>+F19-E19</f>
        <v/>
      </c>
      <c r="T19" s="29" t="n">
        <v>0.01041666666666667</v>
      </c>
      <c r="U19" s="29">
        <f>+S19-T19</f>
        <v/>
      </c>
    </row>
    <row r="20" ht="14.25" customHeight="1">
      <c r="A20" s="13" t="n">
        <v>1</v>
      </c>
      <c r="B20" s="83" t="n">
        <v>46157</v>
      </c>
      <c r="C20" s="61" t="n">
        <v>0.125</v>
      </c>
      <c r="D20" s="61" t="n">
        <v>0.46875</v>
      </c>
      <c r="E20" s="84" t="n">
        <v>0.1996759259259259</v>
      </c>
      <c r="F20" s="85" t="n">
        <v>0.1996759259259259</v>
      </c>
      <c r="G20" s="17">
        <f>IF(C20-E20&gt;0,+C20-E20,0)</f>
        <v/>
      </c>
      <c r="H20" s="17">
        <f>IF(F20-D20&gt;0,+F20-D20,0)</f>
        <v/>
      </c>
      <c r="I20" s="17">
        <f>SUM(G20:H20)</f>
        <v/>
      </c>
      <c r="J20" s="17">
        <f>IF(C20-E20&lt;0,+(+C20-E20)*-1,0)</f>
        <v/>
      </c>
      <c r="K20" s="17">
        <f>IF(F20-D20&lt;0,+(+F20-D20)*-1,0)</f>
        <v/>
      </c>
      <c r="L20" s="18">
        <f>+J20+K20</f>
        <v/>
      </c>
      <c r="M20" s="8" t="n">
        <v>0.25</v>
      </c>
      <c r="N20" s="8">
        <f>IF(M20-E20&gt;0,M20-E20,0)</f>
        <v/>
      </c>
      <c r="O20" s="19">
        <f>+F20-E20</f>
        <v/>
      </c>
      <c r="P20" s="20" t="n">
        <v>0.3333333333333333</v>
      </c>
      <c r="Q20" s="8" t="n">
        <v>0.01041666666666667</v>
      </c>
      <c r="R20" s="20" t="n"/>
      <c r="S20" s="20" t="n"/>
      <c r="T20" s="20" t="n"/>
      <c r="U20" s="20" t="n"/>
    </row>
    <row r="21" ht="14.25" customHeight="1">
      <c r="A21" s="13" t="n">
        <v>1</v>
      </c>
      <c r="B21" s="83" t="n">
        <v>46158</v>
      </c>
      <c r="C21" s="61" t="n">
        <v>0.125</v>
      </c>
      <c r="D21" s="61" t="n">
        <v>0.46875</v>
      </c>
      <c r="E21" s="84" t="n">
        <v>0.194375</v>
      </c>
      <c r="F21" s="85" t="n">
        <v>0.5302777777777777</v>
      </c>
      <c r="G21" s="17">
        <f>IF(C21-E21&gt;0,+C21-E21,0)</f>
        <v/>
      </c>
      <c r="H21" s="17">
        <f>IF(F21-D21&gt;0,+F21-D21,0)</f>
        <v/>
      </c>
      <c r="I21" s="17">
        <f>SUM(G21:H21)</f>
        <v/>
      </c>
      <c r="J21" s="17">
        <f>IF(C21-E21&lt;0,+(+C21-E21)*-1,0)</f>
        <v/>
      </c>
      <c r="K21" s="17">
        <f>IF(F21-D21&lt;0,+(+F21-D21)*-1,0)</f>
        <v/>
      </c>
      <c r="L21" s="18">
        <f>+J21+K21</f>
        <v/>
      </c>
      <c r="M21" s="8" t="n">
        <v>0.25</v>
      </c>
      <c r="N21" s="8">
        <f>IF(M21-E21&gt;0,M21-E21,0)</f>
        <v/>
      </c>
      <c r="O21" s="19">
        <f>+F21-E21</f>
        <v/>
      </c>
      <c r="P21" s="20" t="n">
        <v>0.3333333333333333</v>
      </c>
      <c r="Q21" s="8" t="n">
        <v>0.01041666666666667</v>
      </c>
      <c r="R21" s="20" t="n"/>
      <c r="S21" s="20" t="n"/>
      <c r="T21" s="20" t="n"/>
      <c r="U21" s="20" t="n"/>
    </row>
    <row r="22" ht="14.25" customHeight="1">
      <c r="A22" s="13" t="n">
        <v>1</v>
      </c>
      <c r="B22" s="83" t="n">
        <v>46160</v>
      </c>
      <c r="C22" s="61" t="n">
        <v>0.125</v>
      </c>
      <c r="D22" s="61" t="n">
        <v>0.46875</v>
      </c>
      <c r="E22" s="84" t="n">
        <v>0.1965393518518518</v>
      </c>
      <c r="F22" s="85" t="n">
        <v>0.5878125</v>
      </c>
      <c r="G22" s="17">
        <f>IF(C22-E22&gt;0,+C22-E22,0)</f>
        <v/>
      </c>
      <c r="H22" s="17">
        <f>IF(F22-D22&gt;0,+F22-D22,0)</f>
        <v/>
      </c>
      <c r="I22" s="17">
        <f>SUM(G22:H22)</f>
        <v/>
      </c>
      <c r="J22" s="17">
        <f>IF(C22-E22&lt;0,+(+C22-E22)*-1,0)</f>
        <v/>
      </c>
      <c r="K22" s="17">
        <f>IF(F22-D22&lt;0,+(+F22-D22)*-1,0)</f>
        <v/>
      </c>
      <c r="L22" s="18">
        <f>+J22+K22</f>
        <v/>
      </c>
      <c r="M22" s="8" t="n">
        <v>0.25</v>
      </c>
      <c r="N22" s="8">
        <f>IF(M22-E22&gt;0,M22-E22,0)</f>
        <v/>
      </c>
      <c r="O22" s="19">
        <f>+F22-E22</f>
        <v/>
      </c>
      <c r="P22" s="20" t="n">
        <v>0.3333333333333333</v>
      </c>
      <c r="Q22" s="8" t="n">
        <v>0.01041666666666667</v>
      </c>
      <c r="R22" s="20" t="n"/>
      <c r="S22" s="20" t="n"/>
      <c r="T22" s="20" t="n"/>
      <c r="U22" s="20" t="n"/>
    </row>
    <row r="23" ht="14.25" customHeight="1">
      <c r="A23" s="13" t="n">
        <v>1</v>
      </c>
      <c r="B23" s="83" t="n">
        <v>46161</v>
      </c>
      <c r="C23" s="61" t="n">
        <v>0.125</v>
      </c>
      <c r="D23" s="61" t="n">
        <v>0.46875</v>
      </c>
      <c r="E23" s="84" t="n">
        <v>0.1120023148148148</v>
      </c>
      <c r="F23" s="85" t="n">
        <v>0.5287384259259259</v>
      </c>
      <c r="G23" s="17">
        <f>IF(C23-E23&gt;0,+C23-E23,0)</f>
        <v/>
      </c>
      <c r="H23" s="17">
        <f>IF(F23-D23&gt;0,+F23-D23,0)</f>
        <v/>
      </c>
      <c r="I23" s="17">
        <f>SUM(G23:H23)</f>
        <v/>
      </c>
      <c r="J23" s="17">
        <f>IF(C23-E23&lt;0,+(+C23-E23)*-1,0)</f>
        <v/>
      </c>
      <c r="K23" s="17">
        <f>IF(F23-D23&lt;0,+(+F23-D23)*-1,0)</f>
        <v/>
      </c>
      <c r="L23" s="18">
        <f>+J23+K23</f>
        <v/>
      </c>
      <c r="M23" s="8" t="n">
        <v>0.25</v>
      </c>
      <c r="N23" s="8">
        <f>IF(M23-E23&gt;0,M23-E23,0)</f>
        <v/>
      </c>
      <c r="O23" s="19">
        <f>+F23-E23</f>
        <v/>
      </c>
      <c r="P23" s="20" t="n">
        <v>0.3333333333333333</v>
      </c>
      <c r="Q23" s="8" t="n">
        <v>0.01041666666666667</v>
      </c>
      <c r="R23" s="20" t="n"/>
      <c r="S23" s="20" t="n"/>
      <c r="T23" s="20" t="n"/>
      <c r="U23" s="20" t="n"/>
    </row>
    <row r="24" ht="14.25" customHeight="1">
      <c r="A24" s="13" t="n">
        <v>1</v>
      </c>
      <c r="B24" s="83" t="n">
        <v>46162</v>
      </c>
      <c r="C24" s="61" t="n">
        <v>0.125</v>
      </c>
      <c r="D24" s="61" t="n">
        <v>0.46875</v>
      </c>
      <c r="E24" s="84" t="n">
        <v>0.1130324074074074</v>
      </c>
      <c r="F24" s="85" t="n">
        <v>0.5183333333333333</v>
      </c>
      <c r="G24" s="17">
        <f>IF(C24-E24&gt;0,+C24-E24,0)</f>
        <v/>
      </c>
      <c r="H24" s="17">
        <f>IF(F24-D24&gt;0,+F24-D24,0)</f>
        <v/>
      </c>
      <c r="I24" s="17">
        <f>SUM(G24:H24)</f>
        <v/>
      </c>
      <c r="J24" s="17">
        <f>IF(C24-E24&lt;0,+(+C24-E24)*-1,0)</f>
        <v/>
      </c>
      <c r="K24" s="17">
        <f>IF(F24-D24&lt;0,+(+F24-D24)*-1,0)</f>
        <v/>
      </c>
      <c r="L24" s="18">
        <f>+J24+K24</f>
        <v/>
      </c>
      <c r="M24" s="8" t="n">
        <v>0.25</v>
      </c>
      <c r="N24" s="8">
        <f>IF(M24-E24&gt;0,M24-E24,0)</f>
        <v/>
      </c>
      <c r="O24" s="19">
        <f>+F24-E24</f>
        <v/>
      </c>
      <c r="P24" s="20" t="n">
        <v>0.3333333333333333</v>
      </c>
      <c r="Q24" s="8" t="n">
        <v>0.01041666666666667</v>
      </c>
      <c r="R24" s="20" t="n"/>
      <c r="S24" s="20" t="n"/>
      <c r="T24" s="20" t="n"/>
      <c r="U24" s="20" t="n"/>
    </row>
    <row r="25" ht="14.25" customHeight="1">
      <c r="A25" s="21" t="n">
        <v>1</v>
      </c>
      <c r="B25" s="86" t="n">
        <v>46163</v>
      </c>
      <c r="C25" s="23" t="n">
        <v>0.125</v>
      </c>
      <c r="D25" s="23" t="n">
        <v>0.46875</v>
      </c>
      <c r="E25" s="87" t="n">
        <v>0.1132523148148148</v>
      </c>
      <c r="F25" s="88" t="n">
        <v>0.5145601851851852</v>
      </c>
      <c r="G25" s="26">
        <f>IF(C25-E25&gt;0,+C25-E25,0)</f>
        <v/>
      </c>
      <c r="H25" s="26">
        <f>IF(F25-D25&gt;0,+F25-D25,0)</f>
        <v/>
      </c>
      <c r="I25" s="26">
        <f>SUM(G25:H25)</f>
        <v/>
      </c>
      <c r="J25" s="26">
        <f>IF(C25-E25&lt;0,+(+C25-E25)*-1,0)</f>
        <v/>
      </c>
      <c r="K25" s="26">
        <f>IF(F25-D25&lt;0,+(+F25-D25)*-1,0)</f>
        <v/>
      </c>
      <c r="L25" s="27">
        <f>+J25+K25</f>
        <v/>
      </c>
      <c r="M25" s="28" t="n"/>
      <c r="N25" s="28" t="n"/>
      <c r="O25" s="29">
        <f>+F25-E25</f>
        <v/>
      </c>
      <c r="P25" s="29" t="n"/>
      <c r="Q25" s="28" t="n"/>
      <c r="R25" s="29" t="n"/>
      <c r="S25" s="29">
        <f>+F25-E25</f>
        <v/>
      </c>
      <c r="T25" s="29" t="n">
        <v>0.01041666666666667</v>
      </c>
      <c r="U25" s="29">
        <f>+S25-T25</f>
        <v/>
      </c>
    </row>
    <row r="26" ht="14.25" customHeight="1">
      <c r="A26" s="13" t="n">
        <v>1</v>
      </c>
      <c r="B26" s="83" t="n">
        <v>46164</v>
      </c>
      <c r="C26" s="61" t="n">
        <v>0.125</v>
      </c>
      <c r="D26" s="61" t="n">
        <v>0.46875</v>
      </c>
      <c r="E26" s="84" t="n">
        <v>0.1134027777777778</v>
      </c>
      <c r="F26" s="85" t="n">
        <v>0.1134027777777778</v>
      </c>
      <c r="G26" s="17">
        <f>IF(C26-E26&gt;0,+C26-E26,0)</f>
        <v/>
      </c>
      <c r="H26" s="17">
        <f>IF(F26-D26&gt;0,+F26-D26,0)</f>
        <v/>
      </c>
      <c r="I26" s="17">
        <f>SUM(G26:H26)</f>
        <v/>
      </c>
      <c r="J26" s="17">
        <f>IF(C26-E26&lt;0,+(+C26-E26)*-1,0)</f>
        <v/>
      </c>
      <c r="K26" s="17">
        <f>IF(F26-D26&lt;0,+(+F26-D26)*-1,0)</f>
        <v/>
      </c>
      <c r="L26" s="18">
        <f>+J26+K26</f>
        <v/>
      </c>
      <c r="M26" s="8" t="n">
        <v>0.25</v>
      </c>
      <c r="N26" s="8">
        <f>IF(M26-E26&gt;0,M26-E26,0)</f>
        <v/>
      </c>
      <c r="O26" s="19">
        <f>+F26-E26</f>
        <v/>
      </c>
      <c r="P26" s="20" t="n">
        <v>0.3333333333333333</v>
      </c>
      <c r="Q26" s="8" t="n">
        <v>0.01041666666666667</v>
      </c>
      <c r="R26" s="20" t="n"/>
      <c r="S26" s="20" t="n"/>
      <c r="T26" s="20" t="n"/>
      <c r="U26" s="20" t="n"/>
    </row>
    <row r="27" ht="14.25" customHeight="1">
      <c r="A27" s="13" t="n">
        <v>1</v>
      </c>
      <c r="B27" s="83" t="n">
        <v>46165</v>
      </c>
      <c r="C27" s="61" t="n">
        <v>0.125</v>
      </c>
      <c r="D27" s="61" t="n">
        <v>0.46875</v>
      </c>
      <c r="E27" s="84" t="n">
        <v>0.1117592592592593</v>
      </c>
      <c r="F27" s="85" t="n">
        <v>0.1117592592592593</v>
      </c>
      <c r="G27" s="17">
        <f>IF(C27-E27&gt;0,+C27-E27,0)</f>
        <v/>
      </c>
      <c r="H27" s="17">
        <f>IF(F27-D27&gt;0,+F27-D27,0)</f>
        <v/>
      </c>
      <c r="I27" s="17">
        <f>SUM(G27:H27)</f>
        <v/>
      </c>
      <c r="J27" s="17">
        <f>IF(C27-E27&lt;0,+(+C27-E27)*-1,0)</f>
        <v/>
      </c>
      <c r="K27" s="17">
        <f>IF(F27-D27&lt;0,+(+F27-D27)*-1,0)</f>
        <v/>
      </c>
      <c r="L27" s="18">
        <f>+J27+K27</f>
        <v/>
      </c>
      <c r="M27" s="8" t="n">
        <v>0.25</v>
      </c>
      <c r="N27" s="8">
        <f>IF(M27-E27&gt;0,M27-E27,0)</f>
        <v/>
      </c>
      <c r="O27" s="19">
        <f>+F27-E27</f>
        <v/>
      </c>
      <c r="P27" s="20" t="n">
        <v>0.3333333333333333</v>
      </c>
      <c r="Q27" s="8" t="n">
        <v>0.01041666666666667</v>
      </c>
      <c r="R27" s="20" t="n"/>
      <c r="S27" s="20" t="n"/>
      <c r="T27" s="20" t="n"/>
      <c r="U27" s="20" t="n"/>
    </row>
    <row r="28" ht="14.25" customHeight="1">
      <c r="A28" s="13" t="n">
        <v>1</v>
      </c>
      <c r="B28" s="83" t="n">
        <v>46167</v>
      </c>
      <c r="C28" s="61" t="n">
        <v>0.125</v>
      </c>
      <c r="D28" s="61" t="n">
        <v>0.46875</v>
      </c>
      <c r="E28" s="84" t="n">
        <v>0.1124768518518519</v>
      </c>
      <c r="F28" s="85" t="n">
        <v>0.5173148148148148</v>
      </c>
      <c r="G28" s="17">
        <f>IF(C28-E28&gt;0,+C28-E28,0)</f>
        <v/>
      </c>
      <c r="H28" s="17">
        <f>IF(F28-D28&gt;0,+F28-D28,0)</f>
        <v/>
      </c>
      <c r="I28" s="17">
        <f>SUM(G28:H28)</f>
        <v/>
      </c>
      <c r="J28" s="17">
        <f>IF(C28-E28&lt;0,+(+C28-E28)*-1,0)</f>
        <v/>
      </c>
      <c r="K28" s="17">
        <f>IF(F28-D28&lt;0,+(+F28-D28)*-1,0)</f>
        <v/>
      </c>
      <c r="L28" s="18">
        <f>+J28+K28</f>
        <v/>
      </c>
      <c r="M28" s="8" t="n">
        <v>0.25</v>
      </c>
      <c r="N28" s="8">
        <f>IF(M28-E28&gt;0,M28-E28,0)</f>
        <v/>
      </c>
      <c r="O28" s="19">
        <f>+F28-E28</f>
        <v/>
      </c>
      <c r="P28" s="20" t="n">
        <v>0.3333333333333333</v>
      </c>
      <c r="Q28" s="8" t="n">
        <v>0.01041666666666667</v>
      </c>
      <c r="R28" s="20" t="n"/>
      <c r="S28" s="20" t="n"/>
      <c r="T28" s="20" t="n"/>
      <c r="U28" s="20" t="n"/>
    </row>
    <row r="29" ht="14.25" customHeight="1">
      <c r="A29" s="13" t="n">
        <v>1</v>
      </c>
      <c r="B29" s="83" t="n">
        <v>46168</v>
      </c>
      <c r="C29" s="61" t="n">
        <v>0.125</v>
      </c>
      <c r="D29" s="61" t="n">
        <v>0.46875</v>
      </c>
      <c r="E29" s="84" t="n">
        <v>0.1153935185185185</v>
      </c>
      <c r="F29" s="85" t="n">
        <v>0.5004282407407408</v>
      </c>
      <c r="G29" s="17">
        <f>IF(C29-E29&gt;0,+C29-E29,0)</f>
        <v/>
      </c>
      <c r="H29" s="17">
        <f>IF(F29-D29&gt;0,+F29-D29,0)</f>
        <v/>
      </c>
      <c r="I29" s="17">
        <f>SUM(G29:H29)</f>
        <v/>
      </c>
      <c r="J29" s="17">
        <f>IF(C29-E29&lt;0,+(+C29-E29)*-1,0)</f>
        <v/>
      </c>
      <c r="K29" s="17">
        <f>IF(F29-D29&lt;0,+(+F29-D29)*-1,0)</f>
        <v/>
      </c>
      <c r="L29" s="18">
        <f>+J29+K29</f>
        <v/>
      </c>
      <c r="M29" s="8" t="n">
        <v>0.25</v>
      </c>
      <c r="N29" s="8">
        <f>IF(M29-E29&gt;0,M29-E29,0)</f>
        <v/>
      </c>
      <c r="O29" s="19">
        <f>+F29-E29</f>
        <v/>
      </c>
      <c r="P29" s="20" t="n">
        <v>0.3333333333333333</v>
      </c>
      <c r="Q29" s="8" t="n">
        <v>0.01041666666666667</v>
      </c>
      <c r="R29" s="20" t="n"/>
      <c r="S29" s="20" t="n"/>
      <c r="T29" s="20" t="n"/>
      <c r="U29" s="20" t="n"/>
    </row>
    <row r="30" ht="14.25" customHeight="1">
      <c r="A30" s="13" t="n">
        <v>1</v>
      </c>
      <c r="B30" s="83" t="n">
        <v>46169</v>
      </c>
      <c r="C30" s="61" t="n">
        <v>0.125</v>
      </c>
      <c r="D30" s="61" t="n">
        <v>0.46875</v>
      </c>
      <c r="E30" s="84" t="n">
        <v>0.1140509259259259</v>
      </c>
      <c r="F30" s="85" t="n">
        <v>0.5122800925925926</v>
      </c>
      <c r="G30" s="17">
        <f>IF(C30-E30&gt;0,+C30-E30,0)</f>
        <v/>
      </c>
      <c r="H30" s="17">
        <f>IF(F30-D30&gt;0,+F30-D30,0)</f>
        <v/>
      </c>
      <c r="I30" s="17">
        <f>SUM(G30:H30)</f>
        <v/>
      </c>
      <c r="J30" s="17">
        <f>IF(C30-E30&lt;0,+(+C30-E30)*-1,0)</f>
        <v/>
      </c>
      <c r="K30" s="17">
        <f>IF(F30-D30&lt;0,+(+F30-D30)*-1,0)</f>
        <v/>
      </c>
      <c r="L30" s="18">
        <f>+J30+K30</f>
        <v/>
      </c>
      <c r="M30" s="8" t="n">
        <v>0.25</v>
      </c>
      <c r="N30" s="8">
        <f>IF(M30-E30&gt;0,M30-E30,0)</f>
        <v/>
      </c>
      <c r="O30" s="19">
        <f>+F30-E30</f>
        <v/>
      </c>
      <c r="P30" s="20" t="n">
        <v>0.3333333333333333</v>
      </c>
      <c r="Q30" s="8" t="n">
        <v>0.01041666666666667</v>
      </c>
      <c r="R30" s="20" t="n"/>
      <c r="S30" s="20" t="n"/>
      <c r="T30" s="20" t="n"/>
      <c r="U30" s="20" t="n"/>
    </row>
    <row r="31" ht="14.25" customHeight="1">
      <c r="A31" s="21" t="n">
        <v>1</v>
      </c>
      <c r="B31" s="86" t="n">
        <v>46170</v>
      </c>
      <c r="C31" s="23" t="n">
        <v>0.125</v>
      </c>
      <c r="D31" s="23" t="n">
        <v>0.46875</v>
      </c>
      <c r="E31" s="87" t="n">
        <v>0.1138310185185185</v>
      </c>
      <c r="F31" s="88" t="n">
        <v>0.1138310185185185</v>
      </c>
      <c r="G31" s="26">
        <f>IF(C31-E31&gt;0,+C31-E31,0)</f>
        <v/>
      </c>
      <c r="H31" s="26">
        <f>IF(F31-D31&gt;0,+F31-D31,0)</f>
        <v/>
      </c>
      <c r="I31" s="26">
        <f>SUM(G31:H31)</f>
        <v/>
      </c>
      <c r="J31" s="26">
        <f>IF(C31-E31&lt;0,+(+C31-E31)*-1,0)</f>
        <v/>
      </c>
      <c r="K31" s="26">
        <f>IF(F31-D31&lt;0,+(+F31-D31)*-1,0)</f>
        <v/>
      </c>
      <c r="L31" s="27">
        <f>+J31+K31</f>
        <v/>
      </c>
      <c r="M31" s="28" t="n"/>
      <c r="N31" s="28" t="n"/>
      <c r="O31" s="29">
        <f>+F31-E31</f>
        <v/>
      </c>
      <c r="P31" s="29" t="n"/>
      <c r="Q31" s="28" t="n"/>
      <c r="R31" s="29" t="n"/>
      <c r="S31" s="29">
        <f>+F31-E31</f>
        <v/>
      </c>
      <c r="T31" s="29" t="n">
        <v>0.01041666666666667</v>
      </c>
      <c r="U31" s="29">
        <f>+S31-T31</f>
        <v/>
      </c>
    </row>
    <row r="32" ht="14.25" customHeight="1">
      <c r="A32" s="13" t="n">
        <v>1</v>
      </c>
      <c r="B32" s="83" t="n">
        <v>46171</v>
      </c>
      <c r="C32" s="61" t="n">
        <v>0.125</v>
      </c>
      <c r="D32" s="61" t="n">
        <v>0.46875</v>
      </c>
      <c r="E32" s="84" t="n">
        <v>0.1035185185185185</v>
      </c>
      <c r="F32" s="85" t="n">
        <v>0.5326620370370371</v>
      </c>
      <c r="G32" s="17">
        <f>IF(C32-E32&gt;0,+C32-E32,0)</f>
        <v/>
      </c>
      <c r="H32" s="17">
        <f>IF(F32-D32&gt;0,+F32-D32,0)</f>
        <v/>
      </c>
      <c r="I32" s="17">
        <f>SUM(G32:H32)</f>
        <v/>
      </c>
      <c r="J32" s="17">
        <f>IF(C32-E32&lt;0,+(+C32-E32)*-1,0)</f>
        <v/>
      </c>
      <c r="K32" s="17">
        <f>IF(F32-D32&lt;0,+(+F32-D32)*-1,0)</f>
        <v/>
      </c>
      <c r="L32" s="18">
        <f>+J32+K32</f>
        <v/>
      </c>
      <c r="M32" s="8" t="n">
        <v>0.25</v>
      </c>
      <c r="N32" s="8">
        <f>IF(M32-E32&gt;0,M32-E32,0)</f>
        <v/>
      </c>
      <c r="O32" s="19">
        <f>+F32-E32</f>
        <v/>
      </c>
      <c r="P32" s="20" t="n">
        <v>0.3333333333333333</v>
      </c>
      <c r="Q32" s="8" t="n">
        <v>0.01041666666666667</v>
      </c>
      <c r="R32" s="20" t="n"/>
      <c r="S32" s="20" t="n"/>
      <c r="T32" s="20" t="n"/>
      <c r="U32" s="20" t="n"/>
    </row>
    <row r="33" ht="14.25" customHeight="1">
      <c r="A33" s="13" t="n">
        <v>1</v>
      </c>
      <c r="B33" s="83" t="n">
        <v>46172</v>
      </c>
      <c r="C33" s="61" t="n">
        <v>0.125</v>
      </c>
      <c r="D33" s="61" t="n">
        <v>0.46875</v>
      </c>
      <c r="E33" s="84" t="n">
        <v>0.1127430555555556</v>
      </c>
      <c r="F33" s="85" t="n">
        <v>0.5337615740740741</v>
      </c>
      <c r="G33" s="17">
        <f>IF(C33-E33&gt;0,+C33-E33,0)</f>
        <v/>
      </c>
      <c r="H33" s="17">
        <f>IF(F33-D33&gt;0,+F33-D33,0)</f>
        <v/>
      </c>
      <c r="I33" s="17">
        <f>SUM(G33:H33)</f>
        <v/>
      </c>
      <c r="J33" s="17">
        <f>IF(C33-E33&lt;0,+(+C33-E33)*-1,0)</f>
        <v/>
      </c>
      <c r="K33" s="17">
        <f>IF(F33-D33&lt;0,+(+F33-D33)*-1,0)</f>
        <v/>
      </c>
      <c r="L33" s="18">
        <f>+J33+K33</f>
        <v/>
      </c>
      <c r="M33" s="8" t="n">
        <v>0.25</v>
      </c>
      <c r="N33" s="8">
        <f>IF(M33-E33&gt;0,M33-E33,0)</f>
        <v/>
      </c>
      <c r="O33" s="19">
        <f>+F33-E33</f>
        <v/>
      </c>
      <c r="P33" s="20" t="n">
        <v>0.3333333333333333</v>
      </c>
      <c r="Q33" s="8" t="n">
        <v>0.01041666666666667</v>
      </c>
      <c r="R33" s="20" t="n"/>
      <c r="S33" s="20" t="n"/>
      <c r="T33" s="20" t="n"/>
      <c r="U33" s="20" t="n"/>
    </row>
    <row r="34" ht="18.75" customHeight="1">
      <c r="A34" s="30" t="n"/>
      <c r="B34" s="30" t="n"/>
      <c r="C34" s="30" t="n"/>
      <c r="D34" s="30" t="n"/>
      <c r="E34" s="31" t="n"/>
      <c r="F34" s="32" t="n"/>
      <c r="G34" s="33" t="n"/>
      <c r="H34" s="33" t="n"/>
      <c r="I34" s="33" t="n"/>
      <c r="J34" s="33" t="n"/>
      <c r="K34" s="33" t="n"/>
      <c r="L34" s="33" t="n"/>
      <c r="M34" s="30" t="n"/>
      <c r="N34" s="34">
        <f>SUM(N8:N33)</f>
        <v/>
      </c>
      <c r="O34" s="34" t="n"/>
      <c r="P34" s="34" t="n"/>
      <c r="Q34" s="34" t="n"/>
      <c r="R34" s="34">
        <f>SUM(R8:R33)</f>
        <v/>
      </c>
      <c r="S34" s="34" t="n"/>
      <c r="T34" s="34" t="n"/>
      <c r="U34" s="34">
        <f>SUM(U8:U33)</f>
        <v/>
      </c>
    </row>
    <row r="35">
      <c r="O35" s="35" t="n"/>
    </row>
    <row r="36" ht="12.75" customHeight="1" thickBot="1">
      <c r="A36" s="36" t="n"/>
      <c r="G36" s="69" t="n"/>
      <c r="I36" s="7" t="n"/>
      <c r="J36" s="37" t="n"/>
      <c r="K36" s="7" t="n"/>
      <c r="L36" s="37" t="n"/>
      <c r="R36" s="39" t="n"/>
      <c r="U36" s="39" t="n"/>
    </row>
    <row r="37" ht="48" customHeight="1">
      <c r="A37" s="36" t="n"/>
      <c r="G37" s="70" t="inlineStr">
        <is>
          <t>Tipo horas</t>
        </is>
      </c>
      <c r="H37" s="81" t="n"/>
      <c r="I37" s="32" t="inlineStr">
        <is>
          <t>No horas</t>
        </is>
      </c>
      <c r="J37" s="32" t="inlineStr">
        <is>
          <t>No. minutos</t>
        </is>
      </c>
      <c r="K37" s="40" t="inlineStr">
        <is>
          <t>Valor x  hora  US$</t>
        </is>
      </c>
      <c r="L37" s="32" t="inlineStr">
        <is>
          <t xml:space="preserve"> Recargo</t>
        </is>
      </c>
      <c r="M37" s="41" t="inlineStr">
        <is>
          <t>Valor x  hora con recargo                     US$</t>
        </is>
      </c>
      <c r="N37" s="42" t="inlineStr">
        <is>
          <t>Valor        horas          US$</t>
        </is>
      </c>
      <c r="O37" s="43" t="inlineStr">
        <is>
          <t>Valor        minutos          US$</t>
        </is>
      </c>
      <c r="P37" s="44" t="inlineStr">
        <is>
          <t>Valor total US$</t>
        </is>
      </c>
    </row>
    <row r="38" ht="15" customHeight="1">
      <c r="A38" s="45" t="n"/>
      <c r="G38" s="70" t="inlineStr">
        <is>
          <t>Horas nocturnas</t>
        </is>
      </c>
      <c r="H38" s="81" t="n"/>
      <c r="I38" s="46" t="n">
        <v>38</v>
      </c>
      <c r="J38" s="46" t="n">
        <v>30</v>
      </c>
      <c r="K38" s="47" t="n">
        <v>3.425</v>
      </c>
      <c r="L38" s="89" t="n">
        <v>0.25</v>
      </c>
      <c r="M38" s="90">
        <f>+K38*L38</f>
        <v/>
      </c>
      <c r="N38" s="50">
        <f>+I38*M38</f>
        <v/>
      </c>
      <c r="O38" s="51">
        <f>(+M38/60)*J38</f>
        <v/>
      </c>
      <c r="P38" s="52">
        <f>+N38+O38</f>
        <v/>
      </c>
    </row>
    <row r="39" ht="15" customHeight="1">
      <c r="A39" s="36" t="n"/>
      <c r="G39" s="70" t="inlineStr">
        <is>
          <t>Horas suplemenarias</t>
        </is>
      </c>
      <c r="H39" s="81" t="n"/>
      <c r="I39" s="46" t="n">
        <v>16</v>
      </c>
      <c r="J39" s="46" t="n">
        <v>2</v>
      </c>
      <c r="K39" s="47" t="n">
        <v>3.425</v>
      </c>
      <c r="L39" s="89" t="n">
        <v>1.5</v>
      </c>
      <c r="M39" s="90">
        <f>+K39*L39</f>
        <v/>
      </c>
      <c r="N39" s="50">
        <f>+I39*M39</f>
        <v/>
      </c>
      <c r="O39" s="51">
        <f>(+M39/60)*J39</f>
        <v/>
      </c>
      <c r="P39" s="52">
        <f>+N39+O39</f>
        <v/>
      </c>
    </row>
    <row r="40" ht="15" customHeight="1">
      <c r="G40" s="70" t="inlineStr">
        <is>
          <t>Horas extraordinarias</t>
        </is>
      </c>
      <c r="H40" s="81" t="n"/>
      <c r="I40" s="46" t="n">
        <v>74</v>
      </c>
      <c r="J40" s="46" t="n">
        <v>12</v>
      </c>
      <c r="K40" s="47" t="n">
        <v>3.425</v>
      </c>
      <c r="L40" s="89" t="n">
        <v>2</v>
      </c>
      <c r="M40" s="90">
        <f>+K40*L40</f>
        <v/>
      </c>
      <c r="N40" s="50">
        <f>+I40*M40</f>
        <v/>
      </c>
      <c r="O40" s="51">
        <f>(+M40/60)*J40</f>
        <v/>
      </c>
      <c r="P40" s="52">
        <f>+N40+O40</f>
        <v/>
      </c>
      <c r="R40" s="53" t="n"/>
      <c r="S40" s="53" t="n"/>
    </row>
    <row r="41" ht="19.5" customHeight="1" thickBot="1">
      <c r="L41" s="30" t="inlineStr">
        <is>
          <t>Total</t>
        </is>
      </c>
      <c r="M41" s="54" t="n"/>
      <c r="N41" s="55">
        <f>SUM(N38:N40)</f>
        <v/>
      </c>
      <c r="O41" s="56">
        <f>SUM(O38:O40)</f>
        <v/>
      </c>
      <c r="P41" s="57">
        <f>SUM(P38:P40)</f>
        <v/>
      </c>
      <c r="R41" s="71" t="inlineStr">
        <is>
          <t>FIRMA CONFORME</t>
        </is>
      </c>
      <c r="S41" s="91" t="n"/>
    </row>
    <row r="42">
      <c r="D42" s="58" t="n"/>
      <c r="E42" s="59" t="n"/>
    </row>
    <row r="43">
      <c r="D43" s="60" t="n"/>
      <c r="E43" s="59" t="n"/>
    </row>
    <row r="44">
      <c r="D44" s="60" t="n"/>
      <c r="E44" s="59" t="n"/>
    </row>
    <row r="45">
      <c r="D45" s="60" t="n"/>
      <c r="E45" s="59" t="n"/>
    </row>
    <row r="46">
      <c r="D46" s="60" t="n"/>
      <c r="E46" s="59" t="n"/>
      <c r="U46" s="39" t="n"/>
    </row>
    <row r="47">
      <c r="D47" s="60" t="n"/>
      <c r="E47" s="59" t="n"/>
    </row>
    <row r="62410">
      <c r="B62410" s="14">
        <f>+B62409+1</f>
        <v/>
      </c>
    </row>
  </sheetData>
  <mergeCells count="15">
    <mergeCell ref="M6:U6"/>
    <mergeCell ref="S2:S3"/>
    <mergeCell ref="G38:H38"/>
    <mergeCell ref="D6:D7"/>
    <mergeCell ref="G6:L6"/>
    <mergeCell ref="G37:H37"/>
    <mergeCell ref="G36:H36"/>
    <mergeCell ref="R41:S41"/>
    <mergeCell ref="C6:C7"/>
    <mergeCell ref="A6:A7"/>
    <mergeCell ref="G40:H40"/>
    <mergeCell ref="E6:E7"/>
    <mergeCell ref="B6:B7"/>
    <mergeCell ref="F6:F7"/>
    <mergeCell ref="G39:H39"/>
  </mergeCells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paperSize="9" scale="10" horizontalDpi="4294967293" verticalDpi="7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3:B15"/>
  <sheetViews>
    <sheetView workbookViewId="0">
      <selection activeCell="E8" sqref="E8"/>
    </sheetView>
  </sheetViews>
  <sheetFormatPr baseColWidth="10" defaultRowHeight="12.75"/>
  <sheetData>
    <row r="13">
      <c r="B13" t="n">
        <v>84.54000000000001</v>
      </c>
    </row>
    <row r="14">
      <c r="B14" t="n">
        <v>4</v>
      </c>
    </row>
    <row r="15">
      <c r="B15">
        <f>+B13/B14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2014-07-31T15:43:21Z</dcterms:created>
  <dcterms:modified xsi:type="dcterms:W3CDTF">2026-08-02T20:26:35Z</dcterms:modified>
  <cp:lastModifiedBy>PAN CASERO</cp:lastModifiedBy>
  <cp:lastPrinted>2026-06-01T14:01:25Z</cp:lastPrinted>
</cp:coreProperties>
</file>