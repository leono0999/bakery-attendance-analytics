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4380C44A-718D-4F42-8D6D-2DB18C0348B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" l="1"/>
  <c r="Q33" i="2" s="1"/>
  <c r="N33" i="2"/>
  <c r="L33" i="2"/>
  <c r="K33" i="2"/>
  <c r="J33" i="2"/>
  <c r="H33" i="2"/>
  <c r="G33" i="2"/>
  <c r="I33" i="2" s="1"/>
  <c r="O32" i="2"/>
  <c r="Q32" i="2" s="1"/>
  <c r="N32" i="2"/>
  <c r="K32" i="2"/>
  <c r="J32" i="2"/>
  <c r="L32" i="2" s="1"/>
  <c r="I32" i="2"/>
  <c r="H32" i="2"/>
  <c r="G32" i="2"/>
  <c r="O26" i="2"/>
  <c r="Q26" i="2" s="1"/>
  <c r="N26" i="2"/>
  <c r="K26" i="2"/>
  <c r="J26" i="2"/>
  <c r="L26" i="2" s="1"/>
  <c r="H26" i="2"/>
  <c r="G26" i="2"/>
  <c r="R31" i="2"/>
  <c r="O31" i="2"/>
  <c r="K31" i="2"/>
  <c r="J31" i="2"/>
  <c r="H31" i="2"/>
  <c r="G31" i="2"/>
  <c r="O28" i="2"/>
  <c r="Q28" i="2" s="1"/>
  <c r="N28" i="2"/>
  <c r="K28" i="2"/>
  <c r="J28" i="2"/>
  <c r="H28" i="2"/>
  <c r="G28" i="2"/>
  <c r="O27" i="2"/>
  <c r="Q27" i="2" s="1"/>
  <c r="N27" i="2"/>
  <c r="K27" i="2"/>
  <c r="J27" i="2"/>
  <c r="H27" i="2"/>
  <c r="G27" i="2"/>
  <c r="R19" i="2"/>
  <c r="O19" i="2"/>
  <c r="K19" i="2"/>
  <c r="J19" i="2"/>
  <c r="H19" i="2"/>
  <c r="G19" i="2"/>
  <c r="R13" i="2"/>
  <c r="O13" i="2"/>
  <c r="K13" i="2"/>
  <c r="J13" i="2"/>
  <c r="H13" i="2"/>
  <c r="G13" i="2"/>
  <c r="O21" i="2"/>
  <c r="Q21" i="2" s="1"/>
  <c r="N21" i="2"/>
  <c r="K21" i="2"/>
  <c r="J21" i="2"/>
  <c r="H21" i="2"/>
  <c r="G21" i="2"/>
  <c r="O20" i="2"/>
  <c r="Q20" i="2" s="1"/>
  <c r="N20" i="2"/>
  <c r="K20" i="2"/>
  <c r="J20" i="2"/>
  <c r="H20" i="2"/>
  <c r="G20" i="2"/>
  <c r="O18" i="2"/>
  <c r="Q18" i="2" s="1"/>
  <c r="N18" i="2"/>
  <c r="K18" i="2"/>
  <c r="J18" i="2"/>
  <c r="H18" i="2"/>
  <c r="G18" i="2"/>
  <c r="O17" i="2"/>
  <c r="Q17" i="2" s="1"/>
  <c r="N17" i="2"/>
  <c r="K17" i="2"/>
  <c r="J17" i="2"/>
  <c r="H17" i="2"/>
  <c r="G17" i="2"/>
  <c r="O16" i="2"/>
  <c r="Q16" i="2" s="1"/>
  <c r="N16" i="2"/>
  <c r="K16" i="2"/>
  <c r="J16" i="2"/>
  <c r="H16" i="2"/>
  <c r="G16" i="2"/>
  <c r="O15" i="2"/>
  <c r="Q15" i="2" s="1"/>
  <c r="N15" i="2"/>
  <c r="K15" i="2"/>
  <c r="J15" i="2"/>
  <c r="H15" i="2"/>
  <c r="G15" i="2"/>
  <c r="O14" i="2"/>
  <c r="Q14" i="2" s="1"/>
  <c r="N14" i="2"/>
  <c r="K14" i="2"/>
  <c r="J14" i="2"/>
  <c r="H14" i="2"/>
  <c r="G14" i="2"/>
  <c r="O12" i="2"/>
  <c r="Q12" i="2" s="1"/>
  <c r="N12" i="2"/>
  <c r="K12" i="2"/>
  <c r="J12" i="2"/>
  <c r="H12" i="2"/>
  <c r="G12" i="2"/>
  <c r="O11" i="2"/>
  <c r="Q11" i="2" s="1"/>
  <c r="N11" i="2"/>
  <c r="K11" i="2"/>
  <c r="J11" i="2"/>
  <c r="H11" i="2"/>
  <c r="G11" i="2"/>
  <c r="O10" i="2"/>
  <c r="Q10" i="2" s="1"/>
  <c r="N10" i="2"/>
  <c r="K10" i="2"/>
  <c r="J10" i="2"/>
  <c r="H10" i="2"/>
  <c r="G10" i="2"/>
  <c r="O9" i="2"/>
  <c r="Q9" i="2" s="1"/>
  <c r="N9" i="2"/>
  <c r="K9" i="2"/>
  <c r="J9" i="2"/>
  <c r="H9" i="2"/>
  <c r="G9" i="2"/>
  <c r="I26" i="2" l="1"/>
  <c r="L21" i="2"/>
  <c r="I13" i="2"/>
  <c r="I27" i="2"/>
  <c r="I31" i="2"/>
  <c r="I14" i="2"/>
  <c r="I18" i="2"/>
  <c r="L13" i="2"/>
  <c r="I17" i="2"/>
  <c r="L16" i="2"/>
  <c r="I16" i="2"/>
  <c r="L28" i="2"/>
  <c r="L31" i="2"/>
  <c r="I28" i="2"/>
  <c r="L27" i="2"/>
  <c r="I21" i="2"/>
  <c r="I20" i="2"/>
  <c r="L20" i="2"/>
  <c r="L19" i="2"/>
  <c r="I19" i="2"/>
  <c r="L18" i="2"/>
  <c r="L17" i="2"/>
  <c r="L15" i="2"/>
  <c r="I15" i="2"/>
  <c r="L14" i="2"/>
  <c r="L12" i="2"/>
  <c r="I12" i="2"/>
  <c r="L11" i="2"/>
  <c r="I11" i="2"/>
  <c r="I10" i="2"/>
  <c r="L9" i="2"/>
  <c r="I9" i="2"/>
  <c r="L10" i="2"/>
  <c r="R25" i="2"/>
  <c r="O25" i="2"/>
  <c r="K25" i="2"/>
  <c r="J25" i="2"/>
  <c r="H25" i="2"/>
  <c r="G25" i="2"/>
  <c r="O30" i="2"/>
  <c r="Q30" i="2" s="1"/>
  <c r="N30" i="2"/>
  <c r="K30" i="2"/>
  <c r="J30" i="2"/>
  <c r="H30" i="2"/>
  <c r="G30" i="2"/>
  <c r="O29" i="2"/>
  <c r="Q29" i="2" s="1"/>
  <c r="N29" i="2"/>
  <c r="K29" i="2"/>
  <c r="J29" i="2"/>
  <c r="H29" i="2"/>
  <c r="G29" i="2"/>
  <c r="O8" i="2"/>
  <c r="Q8" i="2" s="1"/>
  <c r="N8" i="2"/>
  <c r="K8" i="2"/>
  <c r="J8" i="2"/>
  <c r="H8" i="2"/>
  <c r="G8" i="2"/>
  <c r="L25" i="2" l="1"/>
  <c r="I25" i="2"/>
  <c r="I30" i="2"/>
  <c r="L29" i="2"/>
  <c r="I29" i="2"/>
  <c r="L30" i="2"/>
  <c r="I8" i="2"/>
  <c r="L8" i="2"/>
  <c r="O24" i="2"/>
  <c r="Q24" i="2" s="1"/>
  <c r="N24" i="2"/>
  <c r="K24" i="2"/>
  <c r="J24" i="2"/>
  <c r="H24" i="2"/>
  <c r="G24" i="2"/>
  <c r="O23" i="2"/>
  <c r="Q23" i="2" s="1"/>
  <c r="N23" i="2"/>
  <c r="K23" i="2"/>
  <c r="J23" i="2"/>
  <c r="H23" i="2"/>
  <c r="G23" i="2"/>
  <c r="O22" i="2"/>
  <c r="Q22" i="2" s="1"/>
  <c r="Q34" i="2" s="1"/>
  <c r="N22" i="2"/>
  <c r="N34" i="2" s="1"/>
  <c r="K22" i="2"/>
  <c r="J22" i="2"/>
  <c r="H22" i="2"/>
  <c r="G22" i="2"/>
  <c r="R34" i="2"/>
  <c r="I23" i="2" l="1"/>
  <c r="L24" i="2"/>
  <c r="I24" i="2"/>
  <c r="I22" i="2"/>
  <c r="L22" i="2"/>
  <c r="L23" i="2"/>
  <c r="L39" i="2" l="1"/>
  <c r="N39" i="2" s="1"/>
  <c r="L38" i="2"/>
  <c r="N38" i="2" s="1"/>
  <c r="L37" i="2"/>
  <c r="N37" i="2" s="1"/>
  <c r="M39" i="2" l="1"/>
  <c r="O39" i="2" s="1"/>
  <c r="M37" i="2"/>
  <c r="O37" i="2" s="1"/>
  <c r="M38" i="2"/>
  <c r="O38" i="2" s="1"/>
  <c r="N40" i="2"/>
  <c r="O40" i="2" l="1"/>
  <c r="M40" i="2"/>
</calcChain>
</file>

<file path=xl/sharedStrings.xml><?xml version="1.0" encoding="utf-8"?>
<sst xmlns="http://schemas.openxmlformats.org/spreadsheetml/2006/main" count="169" uniqueCount="76">
  <si>
    <t>4</t>
  </si>
  <si>
    <t>Entrada</t>
  </si>
  <si>
    <t>Salida</t>
  </si>
  <si>
    <t>HORARIO</t>
  </si>
  <si>
    <t>ENTRADA</t>
  </si>
  <si>
    <t>SALIDA</t>
  </si>
  <si>
    <t>Emp No.</t>
  </si>
  <si>
    <t>Fecha</t>
  </si>
  <si>
    <t>Marco Entrada</t>
  </si>
  <si>
    <t>Marco        Salida</t>
  </si>
  <si>
    <t>CONTROL ASISTENCIA</t>
  </si>
  <si>
    <t>Horas nocturnas, suplementarias y extraordinarias</t>
  </si>
  <si>
    <t>TOTAL</t>
  </si>
  <si>
    <t>Atraso</t>
  </si>
  <si>
    <t>Salida                     Temprano</t>
  </si>
  <si>
    <t>Horas Nocturnas   entrada</t>
  </si>
  <si>
    <t xml:space="preserve">Horas        Nocturnas </t>
  </si>
  <si>
    <t>Horas Suplement Base</t>
  </si>
  <si>
    <t>Horario normal</t>
  </si>
  <si>
    <t xml:space="preserve">Horas Suplementarias </t>
  </si>
  <si>
    <t xml:space="preserve">Horas Extraordinarias 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</si>
  <si>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</si>
  <si>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</si>
  <si>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</si>
  <si>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</si>
  <si>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</si>
  <si>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</si>
  <si>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</si>
  <si>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</si>
  <si>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</si>
  <si>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Total</t>
  </si>
  <si>
    <t>FIRMA CONFORME</t>
  </si>
  <si>
    <t>HERNAN CHINGAY</t>
  </si>
  <si>
    <t>H. nocturnas</t>
  </si>
  <si>
    <t>H. suplemenarias</t>
  </si>
  <si>
    <t>H. extraordinarias</t>
  </si>
  <si>
    <t>AC-No.</t>
  </si>
  <si>
    <t>IMSS/CURP</t>
  </si>
  <si>
    <t>Nombre</t>
  </si>
  <si>
    <t>Fecha y hora</t>
  </si>
  <si>
    <t>ZAIDA DIDONATO</t>
  </si>
  <si>
    <t>EDWIN CH</t>
  </si>
  <si>
    <t>REPORTES DE HORAS RELOJ junio 2026</t>
  </si>
  <si>
    <t>01/06/2026 04:21:57</t>
  </si>
  <si>
    <t>01/06/2026 12:19:13</t>
  </si>
  <si>
    <t>02/06/2026 04:27:58</t>
  </si>
  <si>
    <t>02/06/2026 12:07:11</t>
  </si>
  <si>
    <t>03/06/2026 04:25:52</t>
  </si>
  <si>
    <t>03/06/2026 12:38:22</t>
  </si>
  <si>
    <t>04/06/2026 04:27:34</t>
  </si>
  <si>
    <t>04/06/2026 12:07:27</t>
  </si>
  <si>
    <t>05/06/2026 04:23:16</t>
  </si>
  <si>
    <t>05/06/2026 12:38:13</t>
  </si>
  <si>
    <t>06/06/2026 04:13:42</t>
  </si>
  <si>
    <t>06/06/2026 12:46:29</t>
  </si>
  <si>
    <t>08/06/2026 04:28:58</t>
  </si>
  <si>
    <t>08/06/2026 12:25:58</t>
  </si>
  <si>
    <t>09/06/2026 04:30:40</t>
  </si>
  <si>
    <t>09/06/2026 12:38:41</t>
  </si>
  <si>
    <t>10/06/2026 04:29:01</t>
  </si>
  <si>
    <t>10/06/2026 13:02:20</t>
  </si>
  <si>
    <t>11/06/2026 04:28:49</t>
  </si>
  <si>
    <t>11/06/2026 12:12:52</t>
  </si>
  <si>
    <t>12/06/2026 04:29:25</t>
  </si>
  <si>
    <t>12/06/2026 12:56:27</t>
  </si>
  <si>
    <t>13/06/2026 04:03:01</t>
  </si>
  <si>
    <t>13/06/2026 12:58:23</t>
  </si>
  <si>
    <t>15/06/2026 04:22:27</t>
  </si>
  <si>
    <t>15/06/2026 12:20:58</t>
  </si>
  <si>
    <t>16/06/2026 04:27:46</t>
  </si>
  <si>
    <t>16/06/2026 11:54:08</t>
  </si>
  <si>
    <t>17/06/2026 04:29:16</t>
  </si>
  <si>
    <t>17/06/2026 13:53:59</t>
  </si>
  <si>
    <t>17/06/2026 13:55:06</t>
  </si>
  <si>
    <t>18/06/2026 04:29:37</t>
  </si>
  <si>
    <t>18/06/2026 12:37:22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</si>
</sst>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Malgun Gothic"/>
      <family val="2"/>
    </font>
    <font>
      <sz val="8"/>
      <name val="Malgun Gothic"/>
      <family val="2"/>
    </font>
    <font>
      <sz val="10"/>
      <name val="Malgun Gothic"/>
      <family val="2"/>
    </font>
    <font>
      <sz val="8"/>
      <name val="Tahoma"/>
      <family val="2"/>
    </font>
    <font>
      <sz val="8"/>
      <name val="Tahoma"/>
      <charset val="1"/>
    </font>
    <font>
      <sz val="9"/>
      <color theme="0"/>
      <name val="Malgun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21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2" xfId="1" applyFont="1" applyBorder="1" applyAlignment="1">
      <alignment horizontal="center"/>
    </xf>
    <xf numFmtId="14" fontId="5" fillId="0" borderId="2" xfId="0" applyNumberFormat="1" applyFont="1" applyBorder="1" applyAlignment="1">
      <alignment horizontal="left"/>
    </xf>
    <xf numFmtId="21" fontId="5" fillId="0" borderId="2" xfId="0" applyNumberFormat="1" applyFont="1" applyBorder="1"/>
    <xf numFmtId="20" fontId="5" fillId="0" borderId="2" xfId="0" applyNumberFormat="1" applyFont="1" applyBorder="1" applyAlignment="1">
      <alignment horizontal="center"/>
    </xf>
    <xf numFmtId="20" fontId="5" fillId="0" borderId="2" xfId="0" applyNumberFormat="1" applyFont="1" applyBorder="1" applyAlignment="1">
      <alignment horizontal="center" vertical="center"/>
    </xf>
    <xf numFmtId="21" fontId="5" fillId="2" borderId="2" xfId="0" applyNumberFormat="1" applyFont="1" applyFill="1" applyBorder="1" applyAlignment="1">
      <alignment horizontal="center"/>
    </xf>
    <xf numFmtId="46" fontId="5" fillId="2" borderId="2" xfId="0" applyNumberFormat="1" applyFont="1" applyFill="1" applyBorder="1"/>
    <xf numFmtId="20" fontId="5" fillId="0" borderId="2" xfId="0" applyNumberFormat="1" applyFont="1" applyBorder="1" applyAlignment="1">
      <alignment horizontal="center" wrapText="1"/>
    </xf>
    <xf numFmtId="21" fontId="5" fillId="2" borderId="2" xfId="0" applyNumberFormat="1" applyFont="1" applyFill="1" applyBorder="1"/>
    <xf numFmtId="49" fontId="3" fillId="0" borderId="0" xfId="0" applyNumberFormat="1" applyFont="1" applyAlignment="1">
      <alignment horizontal="left" vertical="top"/>
    </xf>
    <xf numFmtId="0" fontId="3" fillId="3" borderId="2" xfId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left"/>
    </xf>
    <xf numFmtId="21" fontId="5" fillId="3" borderId="2" xfId="0" applyNumberFormat="1" applyFont="1" applyFill="1" applyBorder="1"/>
    <xf numFmtId="20" fontId="5" fillId="3" borderId="2" xfId="0" applyNumberFormat="1" applyFont="1" applyFill="1" applyBorder="1" applyAlignment="1">
      <alignment horizontal="center"/>
    </xf>
    <xf numFmtId="20" fontId="5" fillId="3" borderId="2" xfId="0" applyNumberFormat="1" applyFont="1" applyFill="1" applyBorder="1" applyAlignment="1">
      <alignment horizontal="center" vertical="center"/>
    </xf>
    <xf numFmtId="21" fontId="5" fillId="3" borderId="2" xfId="0" applyNumberFormat="1" applyFont="1" applyFill="1" applyBorder="1" applyAlignment="1">
      <alignment horizontal="center"/>
    </xf>
    <xf numFmtId="46" fontId="5" fillId="3" borderId="2" xfId="0" applyNumberFormat="1" applyFont="1" applyFill="1" applyBorder="1"/>
    <xf numFmtId="20" fontId="5" fillId="3" borderId="2" xfId="0" applyNumberFormat="1" applyFont="1" applyFill="1" applyBorder="1" applyAlignment="1">
      <alignment horizontal="center" wrapText="1"/>
    </xf>
    <xf numFmtId="20" fontId="5" fillId="2" borderId="2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0" applyFont="1"/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46" fontId="5" fillId="0" borderId="6" xfId="0" applyNumberFormat="1" applyFont="1" applyBorder="1" applyAlignment="1">
      <alignment horizontal="center"/>
    </xf>
    <xf numFmtId="49" fontId="3" fillId="0" borderId="0" xfId="0" applyNumberFormat="1" applyFont="1"/>
    <xf numFmtId="20" fontId="4" fillId="0" borderId="0" xfId="0" applyNumberFormat="1" applyFont="1" applyAlignment="1">
      <alignment horizontal="center"/>
    </xf>
    <xf numFmtId="21" fontId="3" fillId="0" borderId="0" xfId="0" applyNumberFormat="1" applyFont="1"/>
    <xf numFmtId="49" fontId="3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6" fontId="3" fillId="0" borderId="0" xfId="0" applyNumberFormat="1" applyFont="1"/>
    <xf numFmtId="49" fontId="3" fillId="0" borderId="0" xfId="0" applyNumberFormat="1" applyFont="1" applyAlignment="1">
      <alignment horizontal="center" wrapText="1"/>
    </xf>
    <xf numFmtId="43" fontId="3" fillId="0" borderId="2" xfId="2" applyFont="1" applyFill="1" applyBorder="1"/>
    <xf numFmtId="164" fontId="3" fillId="0" borderId="2" xfId="2" applyNumberFormat="1" applyFont="1" applyFill="1" applyBorder="1"/>
    <xf numFmtId="43" fontId="3" fillId="0" borderId="3" xfId="0" applyNumberFormat="1" applyFont="1" applyBorder="1"/>
    <xf numFmtId="2" fontId="3" fillId="0" borderId="4" xfId="2" applyNumberFormat="1" applyFont="1" applyFill="1" applyBorder="1"/>
    <xf numFmtId="2" fontId="3" fillId="0" borderId="2" xfId="0" applyNumberFormat="1" applyFont="1" applyBorder="1"/>
    <xf numFmtId="2" fontId="3" fillId="0" borderId="5" xfId="0" applyNumberFormat="1" applyFont="1" applyBorder="1"/>
    <xf numFmtId="49" fontId="3" fillId="0" borderId="0" xfId="0" applyNumberFormat="1" applyFont="1" applyAlignment="1">
      <alignment horizontal="center" vertical="center"/>
    </xf>
    <xf numFmtId="0" fontId="3" fillId="0" borderId="10" xfId="0" applyFont="1" applyBorder="1"/>
    <xf numFmtId="0" fontId="3" fillId="0" borderId="2" xfId="0" applyFont="1" applyBorder="1"/>
    <xf numFmtId="0" fontId="3" fillId="0" borderId="3" xfId="0" applyFont="1" applyBorder="1"/>
    <xf numFmtId="2" fontId="3" fillId="0" borderId="11" xfId="0" applyNumberFormat="1" applyFont="1" applyBorder="1"/>
    <xf numFmtId="2" fontId="3" fillId="0" borderId="12" xfId="0" applyNumberFormat="1" applyFont="1" applyBorder="1"/>
    <xf numFmtId="2" fontId="3" fillId="0" borderId="0" xfId="0" applyNumberFormat="1" applyFont="1"/>
    <xf numFmtId="20" fontId="3" fillId="0" borderId="0" xfId="0" applyNumberFormat="1" applyFont="1" applyAlignment="1">
      <alignment horizontal="center" vertical="center"/>
    </xf>
    <xf numFmtId="0" fontId="6" fillId="0" borderId="0" xfId="0" applyFont="1"/>
    <xf numFmtId="49" fontId="7" fillId="4" borderId="14" xfId="0" applyNumberFormat="1" applyFont="1" applyFill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21" fontId="8" fillId="0" borderId="0" xfId="0" applyNumberFormat="1" applyFont="1" applyAlignment="1">
      <alignment horizontal="center"/>
    </xf>
    <xf numFmtId="21" fontId="8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2" xfId="1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6"/>
  <sheetViews>
    <sheetView workbookViewId="0">
      <selection activeCell="G11" sqref="G11"/>
    </sheetView>
  </sheetViews>
  <sheetFormatPr baseColWidth="10" defaultRowHeight="10.5" x14ac:dyDescent="0.15"/>
  <cols>
    <col min="1" max="1" width="11.42578125" style="57"/>
    <col min="2" max="2" width="16" style="57" customWidth="1"/>
    <col min="3" max="3" width="18.7109375" style="57" customWidth="1"/>
    <col min="4" max="4" width="19" style="57" customWidth="1"/>
    <col min="5" max="208" width="11.42578125" style="57"/>
    <col min="209" max="209" width="20" style="57" customWidth="1"/>
    <col min="210" max="464" width="11.42578125" style="57"/>
    <col min="465" max="465" width="20" style="57" customWidth="1"/>
    <col min="466" max="720" width="11.42578125" style="57"/>
    <col min="721" max="721" width="20" style="57" customWidth="1"/>
    <col min="722" max="976" width="11.42578125" style="57"/>
    <col min="977" max="977" width="20" style="57" customWidth="1"/>
    <col min="978" max="1232" width="11.42578125" style="57"/>
    <col min="1233" max="1233" width="20" style="57" customWidth="1"/>
    <col min="1234" max="1488" width="11.42578125" style="57"/>
    <col min="1489" max="1489" width="20" style="57" customWidth="1"/>
    <col min="1490" max="1744" width="11.42578125" style="57"/>
    <col min="1745" max="1745" width="20" style="57" customWidth="1"/>
    <col min="1746" max="2000" width="11.42578125" style="57"/>
    <col min="2001" max="2001" width="20" style="57" customWidth="1"/>
    <col min="2002" max="2256" width="11.42578125" style="57"/>
    <col min="2257" max="2257" width="20" style="57" customWidth="1"/>
    <col min="2258" max="2512" width="11.42578125" style="57"/>
    <col min="2513" max="2513" width="20" style="57" customWidth="1"/>
    <col min="2514" max="2768" width="11.42578125" style="57"/>
    <col min="2769" max="2769" width="20" style="57" customWidth="1"/>
    <col min="2770" max="3024" width="11.42578125" style="57"/>
    <col min="3025" max="3025" width="20" style="57" customWidth="1"/>
    <col min="3026" max="3280" width="11.42578125" style="57"/>
    <col min="3281" max="3281" width="20" style="57" customWidth="1"/>
    <col min="3282" max="3536" width="11.42578125" style="57"/>
    <col min="3537" max="3537" width="20" style="57" customWidth="1"/>
    <col min="3538" max="3792" width="11.42578125" style="57"/>
    <col min="3793" max="3793" width="20" style="57" customWidth="1"/>
    <col min="3794" max="4048" width="11.42578125" style="57"/>
    <col min="4049" max="4049" width="20" style="57" customWidth="1"/>
    <col min="4050" max="4304" width="11.42578125" style="57"/>
    <col min="4305" max="4305" width="20" style="57" customWidth="1"/>
    <col min="4306" max="4560" width="11.42578125" style="57"/>
    <col min="4561" max="4561" width="20" style="57" customWidth="1"/>
    <col min="4562" max="4816" width="11.42578125" style="57"/>
    <col min="4817" max="4817" width="20" style="57" customWidth="1"/>
    <col min="4818" max="5072" width="11.42578125" style="57"/>
    <col min="5073" max="5073" width="20" style="57" customWidth="1"/>
    <col min="5074" max="5328" width="11.42578125" style="57"/>
    <col min="5329" max="5329" width="20" style="57" customWidth="1"/>
    <col min="5330" max="5584" width="11.42578125" style="57"/>
    <col min="5585" max="5585" width="20" style="57" customWidth="1"/>
    <col min="5586" max="5840" width="11.42578125" style="57"/>
    <col min="5841" max="5841" width="20" style="57" customWidth="1"/>
    <col min="5842" max="6096" width="11.42578125" style="57"/>
    <col min="6097" max="6097" width="20" style="57" customWidth="1"/>
    <col min="6098" max="6352" width="11.42578125" style="57"/>
    <col min="6353" max="6353" width="20" style="57" customWidth="1"/>
    <col min="6354" max="6608" width="11.42578125" style="57"/>
    <col min="6609" max="6609" width="20" style="57" customWidth="1"/>
    <col min="6610" max="6864" width="11.42578125" style="57"/>
    <col min="6865" max="6865" width="20" style="57" customWidth="1"/>
    <col min="6866" max="7120" width="11.42578125" style="57"/>
    <col min="7121" max="7121" width="20" style="57" customWidth="1"/>
    <col min="7122" max="7376" width="11.42578125" style="57"/>
    <col min="7377" max="7377" width="20" style="57" customWidth="1"/>
    <col min="7378" max="7632" width="11.42578125" style="57"/>
    <col min="7633" max="7633" width="20" style="57" customWidth="1"/>
    <col min="7634" max="7888" width="11.42578125" style="57"/>
    <col min="7889" max="7889" width="20" style="57" customWidth="1"/>
    <col min="7890" max="8144" width="11.42578125" style="57"/>
    <col min="8145" max="8145" width="20" style="57" customWidth="1"/>
    <col min="8146" max="8400" width="11.42578125" style="57"/>
    <col min="8401" max="8401" width="20" style="57" customWidth="1"/>
    <col min="8402" max="8656" width="11.42578125" style="57"/>
    <col min="8657" max="8657" width="20" style="57" customWidth="1"/>
    <col min="8658" max="8912" width="11.42578125" style="57"/>
    <col min="8913" max="8913" width="20" style="57" customWidth="1"/>
    <col min="8914" max="9168" width="11.42578125" style="57"/>
    <col min="9169" max="9169" width="20" style="57" customWidth="1"/>
    <col min="9170" max="9424" width="11.42578125" style="57"/>
    <col min="9425" max="9425" width="20" style="57" customWidth="1"/>
    <col min="9426" max="9680" width="11.42578125" style="57"/>
    <col min="9681" max="9681" width="20" style="57" customWidth="1"/>
    <col min="9682" max="9936" width="11.42578125" style="57"/>
    <col min="9937" max="9937" width="20" style="57" customWidth="1"/>
    <col min="9938" max="10192" width="11.42578125" style="57"/>
    <col min="10193" max="10193" width="20" style="57" customWidth="1"/>
    <col min="10194" max="10448" width="11.42578125" style="57"/>
    <col min="10449" max="10449" width="20" style="57" customWidth="1"/>
    <col min="10450" max="10704" width="11.42578125" style="57"/>
    <col min="10705" max="10705" width="20" style="57" customWidth="1"/>
    <col min="10706" max="10960" width="11.42578125" style="57"/>
    <col min="10961" max="10961" width="20" style="57" customWidth="1"/>
    <col min="10962" max="11216" width="11.42578125" style="57"/>
    <col min="11217" max="11217" width="20" style="57" customWidth="1"/>
    <col min="11218" max="11472" width="11.42578125" style="57"/>
    <col min="11473" max="11473" width="20" style="57" customWidth="1"/>
    <col min="11474" max="11728" width="11.42578125" style="57"/>
    <col min="11729" max="11729" width="20" style="57" customWidth="1"/>
    <col min="11730" max="11984" width="11.42578125" style="57"/>
    <col min="11985" max="11985" width="20" style="57" customWidth="1"/>
    <col min="11986" max="12240" width="11.42578125" style="57"/>
    <col min="12241" max="12241" width="20" style="57" customWidth="1"/>
    <col min="12242" max="12496" width="11.42578125" style="57"/>
    <col min="12497" max="12497" width="20" style="57" customWidth="1"/>
    <col min="12498" max="12752" width="11.42578125" style="57"/>
    <col min="12753" max="12753" width="20" style="57" customWidth="1"/>
    <col min="12754" max="13008" width="11.42578125" style="57"/>
    <col min="13009" max="13009" width="20" style="57" customWidth="1"/>
    <col min="13010" max="13264" width="11.42578125" style="57"/>
    <col min="13265" max="13265" width="20" style="57" customWidth="1"/>
    <col min="13266" max="13520" width="11.42578125" style="57"/>
    <col min="13521" max="13521" width="20" style="57" customWidth="1"/>
    <col min="13522" max="13776" width="11.42578125" style="57"/>
    <col min="13777" max="13777" width="20" style="57" customWidth="1"/>
    <col min="13778" max="14032" width="11.42578125" style="57"/>
    <col min="14033" max="14033" width="20" style="57" customWidth="1"/>
    <col min="14034" max="14288" width="11.42578125" style="57"/>
    <col min="14289" max="14289" width="20" style="57" customWidth="1"/>
    <col min="14290" max="14544" width="11.42578125" style="57"/>
    <col min="14545" max="14545" width="20" style="57" customWidth="1"/>
    <col min="14546" max="14800" width="11.42578125" style="57"/>
    <col min="14801" max="14801" width="20" style="57" customWidth="1"/>
    <col min="14802" max="15056" width="11.42578125" style="57"/>
    <col min="15057" max="15057" width="20" style="57" customWidth="1"/>
    <col min="15058" max="15312" width="11.42578125" style="57"/>
    <col min="15313" max="15313" width="20" style="57" customWidth="1"/>
    <col min="15314" max="15568" width="11.42578125" style="57"/>
    <col min="15569" max="15569" width="20" style="57" customWidth="1"/>
    <col min="15570" max="15824" width="11.42578125" style="57"/>
    <col min="15825" max="15825" width="20" style="57" customWidth="1"/>
    <col min="15826" max="16080" width="11.42578125" style="57"/>
    <col min="16081" max="16081" width="20" style="57" customWidth="1"/>
    <col min="16082" max="16384" width="11.42578125" style="57"/>
  </cols>
  <sheetData>
    <row r="1" spans="1:4" ht="24.75" customHeight="1" x14ac:dyDescent="0.15">
      <c r="A1" s="57" t="s">
        <v>36</v>
      </c>
      <c r="B1" s="57" t="s">
        <v>37</v>
      </c>
      <c r="C1" s="57" t="s">
        <v>38</v>
      </c>
      <c r="D1" s="57" t="s">
        <v>39</v>
      </c>
    </row>
    <row r="2" spans="1:4" ht="20.25" customHeight="1" x14ac:dyDescent="0.15">
      <c r="A2" s="58" t="s">
        <v>0</v>
      </c>
      <c r="B2" s="58" t="s">
        <v>41</v>
      </c>
      <c r="C2" s="58" t="s">
        <v>43</v>
      </c>
    </row>
    <row r="3" spans="1:4" ht="20.25" customHeight="1" x14ac:dyDescent="0.15">
      <c r="A3" s="58" t="s">
        <v>0</v>
      </c>
      <c r="B3" s="58" t="s">
        <v>41</v>
      </c>
      <c r="C3" s="58" t="s">
        <v>44</v>
      </c>
    </row>
    <row r="4" spans="1:4" ht="20.25" customHeight="1" x14ac:dyDescent="0.15">
      <c r="A4" s="58" t="s">
        <v>0</v>
      </c>
      <c r="B4" s="58" t="s">
        <v>41</v>
      </c>
      <c r="C4" s="58" t="s">
        <v>45</v>
      </c>
    </row>
    <row r="5" spans="1:4" ht="20.25" customHeight="1" x14ac:dyDescent="0.15">
      <c r="A5" s="58" t="s">
        <v>0</v>
      </c>
      <c r="B5" s="58" t="s">
        <v>41</v>
      </c>
      <c r="C5" s="58" t="s">
        <v>46</v>
      </c>
    </row>
    <row r="6" spans="1:4" ht="20.25" customHeight="1" x14ac:dyDescent="0.15">
      <c r="A6" s="58" t="s">
        <v>0</v>
      </c>
      <c r="B6" s="58" t="s">
        <v>41</v>
      </c>
      <c r="C6" s="58" t="s">
        <v>47</v>
      </c>
    </row>
    <row r="7" spans="1:4" ht="20.25" customHeight="1" x14ac:dyDescent="0.15">
      <c r="A7" s="58" t="s">
        <v>0</v>
      </c>
      <c r="B7" s="58" t="s">
        <v>41</v>
      </c>
      <c r="C7" s="58" t="s">
        <v>48</v>
      </c>
    </row>
    <row r="8" spans="1:4" ht="20.25" customHeight="1" x14ac:dyDescent="0.15">
      <c r="A8" s="58" t="s">
        <v>0</v>
      </c>
      <c r="B8" s="58" t="s">
        <v>41</v>
      </c>
      <c r="C8" s="58" t="s">
        <v>49</v>
      </c>
    </row>
    <row r="9" spans="1:4" ht="20.25" customHeight="1" x14ac:dyDescent="0.15">
      <c r="A9" s="58" t="s">
        <v>0</v>
      </c>
      <c r="B9" s="58" t="s">
        <v>41</v>
      </c>
      <c r="C9" s="58" t="s">
        <v>50</v>
      </c>
    </row>
    <row r="10" spans="1:4" ht="20.25" customHeight="1" x14ac:dyDescent="0.15">
      <c r="A10" s="58" t="s">
        <v>0</v>
      </c>
      <c r="B10" s="58" t="s">
        <v>41</v>
      </c>
      <c r="C10" s="58" t="s">
        <v>51</v>
      </c>
    </row>
    <row r="11" spans="1:4" ht="20.25" customHeight="1" x14ac:dyDescent="0.15">
      <c r="A11" s="58" t="s">
        <v>0</v>
      </c>
      <c r="B11" s="58" t="s">
        <v>41</v>
      </c>
      <c r="C11" s="58" t="s">
        <v>52</v>
      </c>
    </row>
    <row r="12" spans="1:4" ht="20.25" customHeight="1" x14ac:dyDescent="0.15">
      <c r="A12" s="58" t="s">
        <v>0</v>
      </c>
      <c r="B12" s="58" t="s">
        <v>41</v>
      </c>
      <c r="C12" s="58" t="s">
        <v>53</v>
      </c>
    </row>
    <row r="13" spans="1:4" ht="20.25" customHeight="1" x14ac:dyDescent="0.15">
      <c r="A13" s="58" t="s">
        <v>0</v>
      </c>
      <c r="B13" s="58" t="s">
        <v>41</v>
      </c>
      <c r="C13" s="58" t="s">
        <v>54</v>
      </c>
    </row>
    <row r="14" spans="1:4" ht="20.25" customHeight="1" x14ac:dyDescent="0.15">
      <c r="A14" s="58" t="s">
        <v>0</v>
      </c>
      <c r="B14" s="58" t="s">
        <v>41</v>
      </c>
      <c r="C14" s="58" t="s">
        <v>55</v>
      </c>
    </row>
    <row r="15" spans="1:4" ht="20.25" customHeight="1" x14ac:dyDescent="0.15">
      <c r="A15" s="58" t="s">
        <v>0</v>
      </c>
      <c r="B15" s="58" t="s">
        <v>41</v>
      </c>
      <c r="C15" s="58" t="s">
        <v>56</v>
      </c>
    </row>
    <row r="16" spans="1:4" ht="20.25" customHeight="1" x14ac:dyDescent="0.15">
      <c r="A16" s="58" t="s">
        <v>0</v>
      </c>
      <c r="B16" s="58" t="s">
        <v>41</v>
      </c>
      <c r="C16" s="58" t="s">
        <v>57</v>
      </c>
    </row>
    <row r="17" spans="1:3" ht="20.25" customHeight="1" x14ac:dyDescent="0.15">
      <c r="A17" s="58" t="s">
        <v>0</v>
      </c>
      <c r="B17" s="58" t="s">
        <v>41</v>
      </c>
      <c r="C17" s="58" t="s">
        <v>58</v>
      </c>
    </row>
    <row r="18" spans="1:3" ht="20.25" customHeight="1" x14ac:dyDescent="0.15">
      <c r="A18" s="58" t="s">
        <v>0</v>
      </c>
      <c r="B18" s="58" t="s">
        <v>41</v>
      </c>
      <c r="C18" s="58" t="s">
        <v>59</v>
      </c>
    </row>
    <row r="19" spans="1:3" ht="20.25" customHeight="1" x14ac:dyDescent="0.15">
      <c r="A19" s="58" t="s">
        <v>0</v>
      </c>
      <c r="B19" s="58" t="s">
        <v>41</v>
      </c>
      <c r="C19" s="58" t="s">
        <v>60</v>
      </c>
    </row>
    <row r="20" spans="1:3" ht="20.25" customHeight="1" x14ac:dyDescent="0.15">
      <c r="A20" s="58" t="s">
        <v>0</v>
      </c>
      <c r="B20" s="58" t="s">
        <v>41</v>
      </c>
      <c r="C20" s="58" t="s">
        <v>61</v>
      </c>
    </row>
    <row r="21" spans="1:3" ht="20.25" customHeight="1" x14ac:dyDescent="0.15">
      <c r="A21" s="58" t="s">
        <v>0</v>
      </c>
      <c r="B21" s="58" t="s">
        <v>41</v>
      </c>
      <c r="C21" s="58" t="s">
        <v>62</v>
      </c>
    </row>
    <row r="22" spans="1:3" ht="20.25" customHeight="1" x14ac:dyDescent="0.15">
      <c r="A22" s="58" t="s">
        <v>0</v>
      </c>
      <c r="B22" s="58" t="s">
        <v>41</v>
      </c>
      <c r="C22" s="58" t="s">
        <v>63</v>
      </c>
    </row>
    <row r="23" spans="1:3" ht="20.25" customHeight="1" x14ac:dyDescent="0.15">
      <c r="A23" s="58" t="s">
        <v>0</v>
      </c>
      <c r="B23" s="58" t="s">
        <v>41</v>
      </c>
      <c r="C23" s="58" t="s">
        <v>64</v>
      </c>
    </row>
    <row r="24" spans="1:3" ht="20.25" customHeight="1" x14ac:dyDescent="0.15">
      <c r="A24" s="58" t="s">
        <v>0</v>
      </c>
      <c r="B24" s="58" t="s">
        <v>41</v>
      </c>
      <c r="C24" s="58" t="s">
        <v>65</v>
      </c>
    </row>
    <row r="25" spans="1:3" ht="20.25" customHeight="1" x14ac:dyDescent="0.15">
      <c r="A25" s="58" t="s">
        <v>0</v>
      </c>
      <c r="B25" s="58" t="s">
        <v>41</v>
      </c>
      <c r="C25" s="58" t="s">
        <v>66</v>
      </c>
    </row>
    <row r="26" spans="1:3" ht="20.25" customHeight="1" x14ac:dyDescent="0.15">
      <c r="A26" s="58" t="s">
        <v>0</v>
      </c>
      <c r="B26" s="58" t="s">
        <v>41</v>
      </c>
      <c r="C26" s="58" t="s">
        <v>67</v>
      </c>
    </row>
    <row r="27" spans="1:3" ht="20.25" customHeight="1" x14ac:dyDescent="0.15">
      <c r="A27" s="58" t="s">
        <v>0</v>
      </c>
      <c r="B27" s="58" t="s">
        <v>41</v>
      </c>
      <c r="C27" s="58" t="s">
        <v>68</v>
      </c>
    </row>
    <row r="28" spans="1:3" ht="20.25" customHeight="1" x14ac:dyDescent="0.15">
      <c r="A28" s="58" t="s">
        <v>0</v>
      </c>
      <c r="B28" s="58" t="s">
        <v>41</v>
      </c>
      <c r="C28" s="58" t="s">
        <v>69</v>
      </c>
    </row>
    <row r="29" spans="1:3" ht="20.25" customHeight="1" x14ac:dyDescent="0.15">
      <c r="A29" s="58" t="s">
        <v>0</v>
      </c>
      <c r="B29" s="58" t="s">
        <v>41</v>
      </c>
      <c r="C29" s="58" t="s">
        <v>70</v>
      </c>
    </row>
    <row r="30" spans="1:3" ht="20.25" customHeight="1" x14ac:dyDescent="0.15">
      <c r="A30" s="58" t="s">
        <v>0</v>
      </c>
      <c r="B30" s="58" t="s">
        <v>41</v>
      </c>
      <c r="C30" s="58" t="s">
        <v>71</v>
      </c>
    </row>
    <row r="31" spans="1:3" ht="20.25" customHeight="1" x14ac:dyDescent="0.15">
      <c r="A31" s="58" t="s">
        <v>0</v>
      </c>
      <c r="B31" s="58" t="s">
        <v>41</v>
      </c>
      <c r="C31" s="58" t="s">
        <v>72</v>
      </c>
    </row>
    <row r="32" spans="1:3" ht="20.25" customHeight="1" x14ac:dyDescent="0.15">
      <c r="A32" s="58" t="s">
        <v>0</v>
      </c>
      <c r="B32" s="58" t="s">
        <v>41</v>
      </c>
      <c r="C32" s="58" t="s">
        <v>73</v>
      </c>
    </row>
    <row r="33" spans="1:3" ht="20.25" customHeight="1" x14ac:dyDescent="0.15">
      <c r="A33" s="58" t="s">
        <v>0</v>
      </c>
      <c r="B33" s="58" t="s">
        <v>41</v>
      </c>
      <c r="C33" s="58" t="s">
        <v>74</v>
      </c>
    </row>
    <row r="34" spans="1:3" ht="20.25" customHeight="1" x14ac:dyDescent="0.15">
      <c r="A34" s="58" t="s">
        <v>0</v>
      </c>
      <c r="B34" s="58" t="s">
        <v>41</v>
      </c>
      <c r="C34" s="58" t="s">
        <v>75</v>
      </c>
    </row>
    <row r="35" spans="1:3" ht="20.25" customHeight="1" x14ac:dyDescent="0.15">
      <c r="A35" s="58"/>
      <c r="B35" s="58"/>
      <c r="C35" s="58"/>
    </row>
    <row r="36" spans="1:3" ht="20.25" customHeight="1" x14ac:dyDescent="0.15">
      <c r="A36" s="58"/>
      <c r="B36" s="58"/>
      <c r="C36" s="58"/>
    </row>
    <row r="37" spans="1:3" ht="20.25" customHeight="1" x14ac:dyDescent="0.15">
      <c r="A37" s="58"/>
      <c r="B37" s="58"/>
      <c r="C37" s="58"/>
    </row>
    <row r="38" spans="1:3" ht="20.25" customHeight="1" x14ac:dyDescent="0.15">
      <c r="A38" s="58"/>
      <c r="B38" s="58"/>
      <c r="C38" s="58"/>
    </row>
    <row r="39" spans="1:3" ht="20.25" customHeight="1" x14ac:dyDescent="0.15">
      <c r="A39" s="58"/>
      <c r="B39" s="58"/>
      <c r="C39" s="58"/>
    </row>
    <row r="40" spans="1:3" ht="20.25" customHeight="1" x14ac:dyDescent="0.15">
      <c r="A40" s="58"/>
      <c r="B40" s="58"/>
      <c r="C40" s="58"/>
    </row>
    <row r="41" spans="1:3" ht="20.25" customHeight="1" x14ac:dyDescent="0.15">
      <c r="A41" s="58"/>
      <c r="B41" s="58"/>
      <c r="C41" s="58"/>
    </row>
    <row r="42" spans="1:3" ht="20.25" customHeight="1" x14ac:dyDescent="0.15">
      <c r="A42" s="58"/>
      <c r="B42" s="58"/>
      <c r="C42" s="58"/>
    </row>
    <row r="43" spans="1:3" ht="20.25" customHeight="1" x14ac:dyDescent="0.15">
      <c r="A43" s="58"/>
      <c r="B43" s="58"/>
      <c r="C43" s="58"/>
    </row>
    <row r="44" spans="1:3" ht="20.25" customHeight="1" x14ac:dyDescent="0.15">
      <c r="A44" s="58"/>
      <c r="B44" s="58"/>
      <c r="C44" s="58"/>
    </row>
    <row r="45" spans="1:3" ht="20.25" customHeight="1" x14ac:dyDescent="0.15">
      <c r="A45" s="58"/>
      <c r="B45" s="58"/>
      <c r="C45" s="58"/>
    </row>
    <row r="46" spans="1:3" ht="20.25" customHeight="1" x14ac:dyDescent="0.15">
      <c r="A46" s="58"/>
      <c r="B46" s="58"/>
      <c r="C46" s="58"/>
    </row>
    <row r="47" spans="1:3" ht="20.25" customHeight="1" x14ac:dyDescent="0.15">
      <c r="A47" s="58"/>
      <c r="B47" s="58"/>
      <c r="C47" s="58"/>
    </row>
    <row r="48" spans="1:3" ht="20.25" customHeight="1" x14ac:dyDescent="0.15">
      <c r="A48" s="58"/>
      <c r="B48" s="58"/>
      <c r="C48" s="58"/>
    </row>
    <row r="49" spans="1:3" ht="20.25" customHeight="1" x14ac:dyDescent="0.15">
      <c r="A49" s="58"/>
      <c r="B49" s="58"/>
      <c r="C49" s="58"/>
    </row>
    <row r="50" spans="1:3" ht="20.25" customHeight="1" x14ac:dyDescent="0.15">
      <c r="A50" s="58"/>
      <c r="B50" s="58"/>
      <c r="C50" s="58"/>
    </row>
    <row r="51" spans="1:3" ht="16.5" customHeight="1" x14ac:dyDescent="0.15">
      <c r="A51" s="58"/>
      <c r="B51" s="58"/>
      <c r="C51" s="58"/>
    </row>
    <row r="52" spans="1:3" ht="21.75" customHeight="1" x14ac:dyDescent="0.15">
      <c r="A52" s="58"/>
      <c r="B52" s="58"/>
      <c r="C52" s="58"/>
    </row>
    <row r="53" spans="1:3" ht="21.75" customHeight="1" x14ac:dyDescent="0.15">
      <c r="A53" s="58"/>
      <c r="B53" s="58"/>
      <c r="C53" s="58"/>
    </row>
    <row r="54" spans="1:3" ht="21.75" customHeight="1" x14ac:dyDescent="0.15">
      <c r="A54" s="58"/>
      <c r="B54" s="58"/>
      <c r="C54" s="58"/>
    </row>
    <row r="55" spans="1:3" ht="21.75" customHeight="1" x14ac:dyDescent="0.15">
      <c r="A55" s="58"/>
      <c r="B55" s="58"/>
      <c r="C55" s="58"/>
    </row>
    <row r="56" spans="1:3" ht="21.75" customHeight="1" x14ac:dyDescent="0.15">
      <c r="A56" s="58"/>
      <c r="B56" s="58"/>
      <c r="C56" s="58"/>
    </row>
  </sheetData>
  <pageMargins left="0.74803149606299213" right="0.74803149606299213" top="0.98425196850393704" bottom="0.98425196850393704" header="0.51181102362204722" footer="0.51181102362204722"/>
  <pageSetup scale="56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3"/>
  <sheetViews>
    <sheetView tabSelected="1" workbookViewId="0">
      <selection activeCell="G23" sqref="G23"/>
    </sheetView>
  </sheetViews>
  <sheetFormatPr baseColWidth="10" defaultColWidth="12.28515625" defaultRowHeight="12" x14ac:dyDescent="0.2"/>
  <cols>
    <col min="1" max="1" width="7.7109375" style="1" customWidth="1"/>
    <col min="2" max="2" width="12.28515625" style="1"/>
    <col min="3" max="3" width="8.7109375" style="2" customWidth="1"/>
    <col min="4" max="4" width="8.140625" style="2" customWidth="1"/>
    <col min="5" max="5" width="10.28515625" style="3" customWidth="1"/>
    <col min="6" max="6" width="8.85546875" style="3" customWidth="1"/>
    <col min="7" max="7" width="12.28515625" style="1"/>
    <col min="8" max="8" width="11.140625" style="1" customWidth="1"/>
    <col min="9" max="9" width="10" style="1" customWidth="1"/>
    <col min="10" max="10" width="10.28515625" style="1" customWidth="1"/>
    <col min="11" max="12" width="12.28515625" style="1"/>
    <col min="13" max="13" width="10.7109375" style="1" customWidth="1"/>
    <col min="14" max="14" width="13.28515625" style="1" customWidth="1"/>
    <col min="15" max="15" width="10.5703125" style="1" customWidth="1"/>
    <col min="16" max="16" width="10.140625" style="1" customWidth="1"/>
    <col min="17" max="17" width="9.140625" style="1" customWidth="1"/>
    <col min="18" max="18" width="11.7109375" style="1" customWidth="1"/>
    <col min="19" max="16384" width="12.28515625" style="1"/>
  </cols>
  <sheetData>
    <row r="1" spans="1:19" x14ac:dyDescent="0.2">
      <c r="A1" s="1" t="s">
        <v>40</v>
      </c>
    </row>
    <row r="2" spans="1:19" ht="18.75" customHeight="1" x14ac:dyDescent="0.2">
      <c r="A2" s="1" t="s">
        <v>42</v>
      </c>
      <c r="P2" s="59" t="s">
        <v>3</v>
      </c>
      <c r="Q2" s="59" t="s">
        <v>4</v>
      </c>
      <c r="R2" s="60" t="s">
        <v>5</v>
      </c>
    </row>
    <row r="3" spans="1:19" ht="21" customHeight="1" x14ac:dyDescent="0.2">
      <c r="A3" s="1" t="s">
        <v>32</v>
      </c>
      <c r="P3" s="59"/>
      <c r="Q3" s="59">
        <v>0.22916666666666666</v>
      </c>
      <c r="R3" s="61">
        <v>0.4375</v>
      </c>
    </row>
    <row r="4" spans="1:19" x14ac:dyDescent="0.2">
      <c r="P4" s="59"/>
      <c r="Q4" s="62">
        <v>0.5</v>
      </c>
      <c r="R4" s="62">
        <v>0.75</v>
      </c>
    </row>
    <row r="5" spans="1:19" ht="15.75" customHeight="1" x14ac:dyDescent="0.2">
      <c r="Q5" s="4"/>
      <c r="R5" s="4"/>
    </row>
    <row r="6" spans="1:19" ht="12.75" customHeight="1" x14ac:dyDescent="0.2">
      <c r="A6" s="66" t="s">
        <v>6</v>
      </c>
      <c r="B6" s="66" t="s">
        <v>7</v>
      </c>
      <c r="C6" s="70" t="s">
        <v>1</v>
      </c>
      <c r="D6" s="70" t="s">
        <v>2</v>
      </c>
      <c r="E6" s="66" t="s">
        <v>8</v>
      </c>
      <c r="F6" s="66" t="s">
        <v>9</v>
      </c>
      <c r="G6" s="67" t="s">
        <v>10</v>
      </c>
      <c r="H6" s="67"/>
      <c r="I6" s="67"/>
      <c r="J6" s="67"/>
      <c r="K6" s="67"/>
      <c r="L6" s="67"/>
      <c r="M6" s="68" t="s">
        <v>11</v>
      </c>
      <c r="N6" s="68"/>
      <c r="O6" s="68"/>
      <c r="P6" s="69"/>
      <c r="Q6" s="69"/>
      <c r="R6" s="69"/>
    </row>
    <row r="7" spans="1:19" ht="52.5" customHeight="1" x14ac:dyDescent="0.2">
      <c r="A7" s="66"/>
      <c r="B7" s="66"/>
      <c r="C7" s="70"/>
      <c r="D7" s="70"/>
      <c r="E7" s="66"/>
      <c r="F7" s="66"/>
      <c r="G7" s="6" t="s">
        <v>1</v>
      </c>
      <c r="H7" s="6" t="s">
        <v>2</v>
      </c>
      <c r="I7" s="6" t="s">
        <v>12</v>
      </c>
      <c r="J7" s="6" t="s">
        <v>13</v>
      </c>
      <c r="K7" s="5" t="s">
        <v>14</v>
      </c>
      <c r="L7" s="5" t="s">
        <v>12</v>
      </c>
      <c r="M7" s="7" t="s">
        <v>15</v>
      </c>
      <c r="N7" s="7" t="s">
        <v>16</v>
      </c>
      <c r="O7" s="7" t="s">
        <v>17</v>
      </c>
      <c r="P7" s="7" t="s">
        <v>18</v>
      </c>
      <c r="Q7" s="7" t="s">
        <v>19</v>
      </c>
      <c r="R7" s="7" t="s">
        <v>20</v>
      </c>
    </row>
    <row r="8" spans="1:19" ht="13.5" x14ac:dyDescent="0.25">
      <c r="A8" s="8" t="s">
        <v>0</v>
      </c>
      <c r="B8" s="9">
        <v>46174</v>
      </c>
      <c r="C8" s="10">
        <v>0.1875</v>
      </c>
      <c r="D8" s="10">
        <v>0.54166666666666663</v>
      </c>
      <c r="E8" s="26"/>
      <c r="F8" s="12"/>
      <c r="G8" s="13">
        <f t="shared" ref="G8:G13" si="0">IF(C8-E8&gt;0,+C8-E8,0)</f>
        <v>0.1875</v>
      </c>
      <c r="H8" s="13">
        <f t="shared" ref="H8:H13" si="1">IF(F8-D8&gt;0,F8-D8,0)</f>
        <v>0</v>
      </c>
      <c r="I8" s="14">
        <f t="shared" ref="I8:I13" si="2">+G8+H8</f>
        <v>0.1875</v>
      </c>
      <c r="J8" s="13">
        <f t="shared" ref="J8:J13" si="3">IF(E8-C8&gt;0,E8-C8,0)</f>
        <v>0</v>
      </c>
      <c r="K8" s="13">
        <f t="shared" ref="K8:K13" si="4">IF(F8-D8&lt;0,+(+F8-D8)*-1,0)</f>
        <v>0.54166666666666663</v>
      </c>
      <c r="L8" s="13">
        <f t="shared" ref="L8:L13" si="5">+J8+K8</f>
        <v>0.54166666666666663</v>
      </c>
      <c r="M8" s="11">
        <v>0.25</v>
      </c>
      <c r="N8" s="15">
        <f t="shared" ref="N8:N12" si="6">+M8-E8</f>
        <v>0.25</v>
      </c>
      <c r="O8" s="16">
        <f t="shared" ref="O8:O13" si="7">(+F8-E8)</f>
        <v>0</v>
      </c>
      <c r="P8" s="10">
        <v>0.33333333333333331</v>
      </c>
      <c r="Q8" s="15">
        <f t="shared" ref="Q8:Q12" si="8">IF(O8-P8&gt;0,O8-P8,0)</f>
        <v>0</v>
      </c>
      <c r="R8" s="10"/>
      <c r="S8" s="17"/>
    </row>
    <row r="9" spans="1:19" ht="13.5" x14ac:dyDescent="0.25">
      <c r="A9" s="8" t="s">
        <v>0</v>
      </c>
      <c r="B9" s="9">
        <v>46175</v>
      </c>
      <c r="C9" s="10">
        <v>0.1875</v>
      </c>
      <c r="D9" s="10">
        <v>0.54166666666666663</v>
      </c>
      <c r="E9" s="26"/>
      <c r="F9" s="12"/>
      <c r="G9" s="13">
        <f t="shared" si="0"/>
        <v>0.1875</v>
      </c>
      <c r="H9" s="13">
        <f t="shared" si="1"/>
        <v>0</v>
      </c>
      <c r="I9" s="14">
        <f t="shared" si="2"/>
        <v>0.1875</v>
      </c>
      <c r="J9" s="13">
        <f t="shared" si="3"/>
        <v>0</v>
      </c>
      <c r="K9" s="13">
        <f t="shared" si="4"/>
        <v>0.54166666666666663</v>
      </c>
      <c r="L9" s="13">
        <f t="shared" si="5"/>
        <v>0.54166666666666663</v>
      </c>
      <c r="M9" s="11">
        <v>0.25</v>
      </c>
      <c r="N9" s="15">
        <f t="shared" si="6"/>
        <v>0.25</v>
      </c>
      <c r="O9" s="16">
        <f t="shared" si="7"/>
        <v>0</v>
      </c>
      <c r="P9" s="10">
        <v>0.33333333333333331</v>
      </c>
      <c r="Q9" s="15">
        <f t="shared" si="8"/>
        <v>0</v>
      </c>
      <c r="R9" s="10"/>
      <c r="S9" s="17"/>
    </row>
    <row r="10" spans="1:19" ht="13.5" x14ac:dyDescent="0.25">
      <c r="A10" s="8" t="s">
        <v>0</v>
      </c>
      <c r="B10" s="9">
        <v>46176</v>
      </c>
      <c r="C10" s="10">
        <v>0.1875</v>
      </c>
      <c r="D10" s="10">
        <v>0.54166666666666663</v>
      </c>
      <c r="E10" s="26"/>
      <c r="F10" s="12"/>
      <c r="G10" s="13">
        <f t="shared" si="0"/>
        <v>0.1875</v>
      </c>
      <c r="H10" s="13">
        <f t="shared" si="1"/>
        <v>0</v>
      </c>
      <c r="I10" s="14">
        <f t="shared" si="2"/>
        <v>0.1875</v>
      </c>
      <c r="J10" s="13">
        <f t="shared" si="3"/>
        <v>0</v>
      </c>
      <c r="K10" s="13">
        <f t="shared" si="4"/>
        <v>0.54166666666666663</v>
      </c>
      <c r="L10" s="13">
        <f t="shared" si="5"/>
        <v>0.54166666666666663</v>
      </c>
      <c r="M10" s="11">
        <v>0.25</v>
      </c>
      <c r="N10" s="15">
        <f t="shared" si="6"/>
        <v>0.25</v>
      </c>
      <c r="O10" s="16">
        <f t="shared" si="7"/>
        <v>0</v>
      </c>
      <c r="P10" s="10">
        <v>0.33333333333333331</v>
      </c>
      <c r="Q10" s="15">
        <f t="shared" si="8"/>
        <v>0</v>
      </c>
      <c r="R10" s="16"/>
      <c r="S10" s="17"/>
    </row>
    <row r="11" spans="1:19" ht="13.5" x14ac:dyDescent="0.25">
      <c r="A11" s="8" t="s">
        <v>0</v>
      </c>
      <c r="B11" s="9">
        <v>46177</v>
      </c>
      <c r="C11" s="10">
        <v>0.1875</v>
      </c>
      <c r="D11" s="10">
        <v>0.54166666666666663</v>
      </c>
      <c r="E11" s="27"/>
      <c r="F11" s="12"/>
      <c r="G11" s="13">
        <f t="shared" si="0"/>
        <v>0.1875</v>
      </c>
      <c r="H11" s="13">
        <f t="shared" si="1"/>
        <v>0</v>
      </c>
      <c r="I11" s="14">
        <f t="shared" si="2"/>
        <v>0.1875</v>
      </c>
      <c r="J11" s="13">
        <f t="shared" si="3"/>
        <v>0</v>
      </c>
      <c r="K11" s="13">
        <f t="shared" si="4"/>
        <v>0.54166666666666663</v>
      </c>
      <c r="L11" s="13">
        <f t="shared" si="5"/>
        <v>0.54166666666666663</v>
      </c>
      <c r="M11" s="11">
        <v>0.25</v>
      </c>
      <c r="N11" s="15">
        <f t="shared" si="6"/>
        <v>0.25</v>
      </c>
      <c r="O11" s="16">
        <f t="shared" si="7"/>
        <v>0</v>
      </c>
      <c r="P11" s="10">
        <v>0.33333333333333331</v>
      </c>
      <c r="Q11" s="15">
        <f t="shared" si="8"/>
        <v>0</v>
      </c>
      <c r="R11" s="10"/>
      <c r="S11" s="17"/>
    </row>
    <row r="12" spans="1:19" ht="13.5" x14ac:dyDescent="0.25">
      <c r="A12" s="8" t="s">
        <v>0</v>
      </c>
      <c r="B12" s="9">
        <v>46178</v>
      </c>
      <c r="C12" s="10">
        <v>0.1875</v>
      </c>
      <c r="D12" s="10">
        <v>0.54166666666666663</v>
      </c>
      <c r="E12" s="11"/>
      <c r="F12" s="12"/>
      <c r="G12" s="13">
        <f t="shared" si="0"/>
        <v>0.1875</v>
      </c>
      <c r="H12" s="13">
        <f t="shared" si="1"/>
        <v>0</v>
      </c>
      <c r="I12" s="14">
        <f t="shared" si="2"/>
        <v>0.1875</v>
      </c>
      <c r="J12" s="13">
        <f t="shared" si="3"/>
        <v>0</v>
      </c>
      <c r="K12" s="13">
        <f t="shared" si="4"/>
        <v>0.54166666666666663</v>
      </c>
      <c r="L12" s="13">
        <f t="shared" si="5"/>
        <v>0.54166666666666663</v>
      </c>
      <c r="M12" s="11">
        <v>0.25</v>
      </c>
      <c r="N12" s="15">
        <f t="shared" si="6"/>
        <v>0.25</v>
      </c>
      <c r="O12" s="16">
        <f t="shared" si="7"/>
        <v>0</v>
      </c>
      <c r="P12" s="10">
        <v>0.33333333333333331</v>
      </c>
      <c r="Q12" s="15">
        <f t="shared" si="8"/>
        <v>0</v>
      </c>
      <c r="R12" s="10"/>
      <c r="S12" s="17"/>
    </row>
    <row r="13" spans="1:19" ht="16.5" customHeight="1" x14ac:dyDescent="0.25">
      <c r="A13" s="18" t="s">
        <v>0</v>
      </c>
      <c r="B13" s="19">
        <v>46179</v>
      </c>
      <c r="C13" s="20">
        <v>0.1875</v>
      </c>
      <c r="D13" s="20">
        <v>0.54166666666666663</v>
      </c>
      <c r="E13" s="21"/>
      <c r="F13" s="22"/>
      <c r="G13" s="23">
        <f t="shared" si="0"/>
        <v>0.1875</v>
      </c>
      <c r="H13" s="23">
        <f t="shared" si="1"/>
        <v>0</v>
      </c>
      <c r="I13" s="24">
        <f t="shared" si="2"/>
        <v>0.1875</v>
      </c>
      <c r="J13" s="23">
        <f t="shared" si="3"/>
        <v>0</v>
      </c>
      <c r="K13" s="23">
        <f t="shared" si="4"/>
        <v>0.54166666666666663</v>
      </c>
      <c r="L13" s="23">
        <f t="shared" si="5"/>
        <v>0.54166666666666663</v>
      </c>
      <c r="M13" s="21"/>
      <c r="N13" s="25"/>
      <c r="O13" s="20">
        <f t="shared" si="7"/>
        <v>0</v>
      </c>
      <c r="P13" s="20"/>
      <c r="Q13" s="24"/>
      <c r="R13" s="20">
        <f t="shared" ref="R13" si="9">+F13-E13</f>
        <v>0</v>
      </c>
      <c r="S13" s="17"/>
    </row>
    <row r="14" spans="1:19" ht="13.5" x14ac:dyDescent="0.25">
      <c r="A14" s="8" t="s">
        <v>0</v>
      </c>
      <c r="B14" s="9">
        <v>46181</v>
      </c>
      <c r="C14" s="10">
        <v>0.1875</v>
      </c>
      <c r="D14" s="10">
        <v>0.54166666666666663</v>
      </c>
      <c r="E14" s="11"/>
      <c r="F14" s="12"/>
      <c r="G14" s="13">
        <f t="shared" ref="G14:G17" si="10">IF(C14-E14&gt;0,+C14-E14,0)</f>
        <v>0.1875</v>
      </c>
      <c r="H14" s="13">
        <f t="shared" ref="H14:H17" si="11">IF(F14-D14&gt;0,F14-D14,0)</f>
        <v>0</v>
      </c>
      <c r="I14" s="14">
        <f t="shared" ref="I14:I17" si="12">+G14+H14</f>
        <v>0.1875</v>
      </c>
      <c r="J14" s="13">
        <f t="shared" ref="J14:J17" si="13">IF(E14-C14&gt;0,E14-C14,0)</f>
        <v>0</v>
      </c>
      <c r="K14" s="13">
        <f t="shared" ref="K14:K17" si="14">IF(F14-D14&lt;0,+(+F14-D14)*-1,0)</f>
        <v>0.54166666666666663</v>
      </c>
      <c r="L14" s="13">
        <f t="shared" ref="L14:L17" si="15">+J14+K14</f>
        <v>0.54166666666666663</v>
      </c>
      <c r="M14" s="11">
        <v>0.25</v>
      </c>
      <c r="N14" s="15">
        <f t="shared" ref="N14:N17" si="16">+M14-E14</f>
        <v>0.25</v>
      </c>
      <c r="O14" s="16">
        <f t="shared" ref="O14:O17" si="17">(+F14-E14)</f>
        <v>0</v>
      </c>
      <c r="P14" s="10">
        <v>0.33333333333333331</v>
      </c>
      <c r="Q14" s="15">
        <f t="shared" ref="Q14:Q17" si="18">IF(O14-P14&gt;0,O14-P14,0)</f>
        <v>0</v>
      </c>
      <c r="R14" s="10"/>
      <c r="S14" s="17"/>
    </row>
    <row r="15" spans="1:19" ht="13.5" x14ac:dyDescent="0.25">
      <c r="A15" s="8" t="s">
        <v>0</v>
      </c>
      <c r="B15" s="9">
        <v>46182</v>
      </c>
      <c r="C15" s="10">
        <v>0.1875</v>
      </c>
      <c r="D15" s="10">
        <v>0.54166666666666663</v>
      </c>
      <c r="E15" s="26"/>
      <c r="F15" s="12"/>
      <c r="G15" s="13">
        <f t="shared" si="10"/>
        <v>0.1875</v>
      </c>
      <c r="H15" s="13">
        <f t="shared" si="11"/>
        <v>0</v>
      </c>
      <c r="I15" s="14">
        <f t="shared" si="12"/>
        <v>0.1875</v>
      </c>
      <c r="J15" s="13">
        <f t="shared" si="13"/>
        <v>0</v>
      </c>
      <c r="K15" s="13">
        <f t="shared" si="14"/>
        <v>0.54166666666666663</v>
      </c>
      <c r="L15" s="13">
        <f t="shared" si="15"/>
        <v>0.54166666666666663</v>
      </c>
      <c r="M15" s="11">
        <v>0.25</v>
      </c>
      <c r="N15" s="15">
        <f t="shared" si="16"/>
        <v>0.25</v>
      </c>
      <c r="O15" s="16">
        <f t="shared" si="17"/>
        <v>0</v>
      </c>
      <c r="P15" s="10">
        <v>0.33333333333333331</v>
      </c>
      <c r="Q15" s="15">
        <f t="shared" si="18"/>
        <v>0</v>
      </c>
      <c r="R15" s="16"/>
      <c r="S15" s="17"/>
    </row>
    <row r="16" spans="1:19" ht="13.5" x14ac:dyDescent="0.25">
      <c r="A16" s="8" t="s">
        <v>0</v>
      </c>
      <c r="B16" s="9">
        <v>46183</v>
      </c>
      <c r="C16" s="10">
        <v>0.1875</v>
      </c>
      <c r="D16" s="10">
        <v>0.54166666666666663</v>
      </c>
      <c r="E16" s="26"/>
      <c r="F16" s="12"/>
      <c r="G16" s="13">
        <f t="shared" si="10"/>
        <v>0.1875</v>
      </c>
      <c r="H16" s="13">
        <f t="shared" si="11"/>
        <v>0</v>
      </c>
      <c r="I16" s="14">
        <f t="shared" si="12"/>
        <v>0.1875</v>
      </c>
      <c r="J16" s="13">
        <f t="shared" si="13"/>
        <v>0</v>
      </c>
      <c r="K16" s="13">
        <f t="shared" si="14"/>
        <v>0.54166666666666663</v>
      </c>
      <c r="L16" s="13">
        <f t="shared" si="15"/>
        <v>0.54166666666666663</v>
      </c>
      <c r="M16" s="11">
        <v>0.25</v>
      </c>
      <c r="N16" s="15">
        <f t="shared" si="16"/>
        <v>0.25</v>
      </c>
      <c r="O16" s="16">
        <f t="shared" si="17"/>
        <v>0</v>
      </c>
      <c r="P16" s="10">
        <v>0.33333333333333331</v>
      </c>
      <c r="Q16" s="15">
        <f t="shared" si="18"/>
        <v>0</v>
      </c>
      <c r="R16" s="16"/>
      <c r="S16" s="17"/>
    </row>
    <row r="17" spans="1:19" ht="13.5" x14ac:dyDescent="0.25">
      <c r="A17" s="8" t="s">
        <v>0</v>
      </c>
      <c r="B17" s="9">
        <v>46184</v>
      </c>
      <c r="C17" s="10">
        <v>0.1875</v>
      </c>
      <c r="D17" s="10">
        <v>0.54166666666666663</v>
      </c>
      <c r="E17" s="26"/>
      <c r="F17" s="12"/>
      <c r="G17" s="13">
        <f t="shared" si="10"/>
        <v>0.1875</v>
      </c>
      <c r="H17" s="13">
        <f t="shared" si="11"/>
        <v>0</v>
      </c>
      <c r="I17" s="14">
        <f t="shared" si="12"/>
        <v>0.1875</v>
      </c>
      <c r="J17" s="13">
        <f t="shared" si="13"/>
        <v>0</v>
      </c>
      <c r="K17" s="13">
        <f t="shared" si="14"/>
        <v>0.54166666666666663</v>
      </c>
      <c r="L17" s="13">
        <f t="shared" si="15"/>
        <v>0.54166666666666663</v>
      </c>
      <c r="M17" s="11">
        <v>0.25</v>
      </c>
      <c r="N17" s="15">
        <f t="shared" si="16"/>
        <v>0.25</v>
      </c>
      <c r="O17" s="16">
        <f t="shared" si="17"/>
        <v>0</v>
      </c>
      <c r="P17" s="10">
        <v>0.33333333333333331</v>
      </c>
      <c r="Q17" s="15">
        <f t="shared" si="18"/>
        <v>0</v>
      </c>
      <c r="R17" s="10"/>
      <c r="S17" s="17"/>
    </row>
    <row r="18" spans="1:19" ht="13.5" x14ac:dyDescent="0.25">
      <c r="A18" s="8" t="s">
        <v>0</v>
      </c>
      <c r="B18" s="9">
        <v>46185</v>
      </c>
      <c r="C18" s="10">
        <v>0.1875</v>
      </c>
      <c r="D18" s="10">
        <v>0.54166666666666663</v>
      </c>
      <c r="E18" s="11"/>
      <c r="F18" s="12"/>
      <c r="G18" s="13">
        <f t="shared" ref="G18:G19" si="19">IF(C18-E18&gt;0,+C18-E18,0)</f>
        <v>0.1875</v>
      </c>
      <c r="H18" s="13">
        <f t="shared" ref="H18:H19" si="20">IF(F18-D18&gt;0,F18-D18,0)</f>
        <v>0</v>
      </c>
      <c r="I18" s="14">
        <f t="shared" ref="I18:I19" si="21">+G18+H18</f>
        <v>0.1875</v>
      </c>
      <c r="J18" s="13">
        <f t="shared" ref="J18:J19" si="22">IF(E18-C18&gt;0,E18-C18,0)</f>
        <v>0</v>
      </c>
      <c r="K18" s="13">
        <f t="shared" ref="K18:K19" si="23">IF(F18-D18&lt;0,+(+F18-D18)*-1,0)</f>
        <v>0.54166666666666663</v>
      </c>
      <c r="L18" s="13">
        <f t="shared" ref="L18:L19" si="24">+J18+K18</f>
        <v>0.54166666666666663</v>
      </c>
      <c r="M18" s="11">
        <v>0.25</v>
      </c>
      <c r="N18" s="15">
        <f t="shared" ref="N18" si="25">+M18-E18</f>
        <v>0.25</v>
      </c>
      <c r="O18" s="16">
        <f t="shared" ref="O18:O19" si="26">(+F18-E18)</f>
        <v>0</v>
      </c>
      <c r="P18" s="10">
        <v>0.33333333333333331</v>
      </c>
      <c r="Q18" s="15">
        <f t="shared" ref="Q18" si="27">IF(O18-P18&gt;0,O18-P18,0)</f>
        <v>0</v>
      </c>
      <c r="R18" s="10"/>
      <c r="S18" s="17"/>
    </row>
    <row r="19" spans="1:19" ht="16.5" customHeight="1" x14ac:dyDescent="0.25">
      <c r="A19" s="18" t="s">
        <v>0</v>
      </c>
      <c r="B19" s="19">
        <v>46186</v>
      </c>
      <c r="C19" s="20">
        <v>0.1875</v>
      </c>
      <c r="D19" s="20">
        <v>0.54166666666666663</v>
      </c>
      <c r="E19" s="21"/>
      <c r="F19" s="22"/>
      <c r="G19" s="23">
        <f t="shared" si="19"/>
        <v>0.1875</v>
      </c>
      <c r="H19" s="23">
        <f t="shared" si="20"/>
        <v>0</v>
      </c>
      <c r="I19" s="24">
        <f t="shared" si="21"/>
        <v>0.1875</v>
      </c>
      <c r="J19" s="23">
        <f t="shared" si="22"/>
        <v>0</v>
      </c>
      <c r="K19" s="23">
        <f t="shared" si="23"/>
        <v>0.54166666666666663</v>
      </c>
      <c r="L19" s="23">
        <f t="shared" si="24"/>
        <v>0.54166666666666663</v>
      </c>
      <c r="M19" s="21"/>
      <c r="N19" s="25"/>
      <c r="O19" s="20">
        <f t="shared" si="26"/>
        <v>0</v>
      </c>
      <c r="P19" s="20"/>
      <c r="Q19" s="24"/>
      <c r="R19" s="20">
        <f t="shared" ref="R19" si="28">+F19-E19</f>
        <v>0</v>
      </c>
      <c r="S19" s="17"/>
    </row>
    <row r="20" spans="1:19" ht="13.5" x14ac:dyDescent="0.25">
      <c r="A20" s="8" t="s">
        <v>0</v>
      </c>
      <c r="B20" s="9">
        <v>46188</v>
      </c>
      <c r="C20" s="10">
        <v>0.1875</v>
      </c>
      <c r="D20" s="10">
        <v>0.54166666666666663</v>
      </c>
      <c r="E20" s="26"/>
      <c r="F20" s="12"/>
      <c r="G20" s="13">
        <f t="shared" ref="G20:G21" si="29">IF(C20-E20&gt;0,+C20-E20,0)</f>
        <v>0.1875</v>
      </c>
      <c r="H20" s="13">
        <f t="shared" ref="H20:H21" si="30">IF(F20-D20&gt;0,F20-D20,0)</f>
        <v>0</v>
      </c>
      <c r="I20" s="14">
        <f t="shared" ref="I20:I21" si="31">+G20+H20</f>
        <v>0.1875</v>
      </c>
      <c r="J20" s="13">
        <f t="shared" ref="J20:J21" si="32">IF(E20-C20&gt;0,E20-C20,0)</f>
        <v>0</v>
      </c>
      <c r="K20" s="13">
        <f t="shared" ref="K20:K21" si="33">IF(F20-D20&lt;0,+(+F20-D20)*-1,0)</f>
        <v>0.54166666666666663</v>
      </c>
      <c r="L20" s="13">
        <f t="shared" ref="L20:L21" si="34">+J20+K20</f>
        <v>0.54166666666666663</v>
      </c>
      <c r="M20" s="11">
        <v>0.25</v>
      </c>
      <c r="N20" s="15">
        <f t="shared" ref="N20:N21" si="35">+M20-E20</f>
        <v>0.25</v>
      </c>
      <c r="O20" s="16">
        <f t="shared" ref="O20:O21" si="36">(+F20-E20)</f>
        <v>0</v>
      </c>
      <c r="P20" s="10">
        <v>0.33333333333333331</v>
      </c>
      <c r="Q20" s="15">
        <f t="shared" ref="Q20:Q21" si="37">IF(O20-P20&gt;0,O20-P20,0)</f>
        <v>0</v>
      </c>
      <c r="R20" s="10"/>
      <c r="S20" s="17"/>
    </row>
    <row r="21" spans="1:19" ht="13.5" x14ac:dyDescent="0.25">
      <c r="A21" s="8" t="s">
        <v>0</v>
      </c>
      <c r="B21" s="9">
        <v>46189</v>
      </c>
      <c r="C21" s="10">
        <v>0.1875</v>
      </c>
      <c r="D21" s="10">
        <v>0.54166666666666663</v>
      </c>
      <c r="E21" s="11"/>
      <c r="F21" s="12"/>
      <c r="G21" s="13">
        <f t="shared" si="29"/>
        <v>0.1875</v>
      </c>
      <c r="H21" s="13">
        <f t="shared" si="30"/>
        <v>0</v>
      </c>
      <c r="I21" s="14">
        <f t="shared" si="31"/>
        <v>0.1875</v>
      </c>
      <c r="J21" s="13">
        <f t="shared" si="32"/>
        <v>0</v>
      </c>
      <c r="K21" s="13">
        <f t="shared" si="33"/>
        <v>0.54166666666666663</v>
      </c>
      <c r="L21" s="13">
        <f t="shared" si="34"/>
        <v>0.54166666666666663</v>
      </c>
      <c r="M21" s="11">
        <v>0.25</v>
      </c>
      <c r="N21" s="15">
        <f t="shared" si="35"/>
        <v>0.25</v>
      </c>
      <c r="O21" s="16">
        <f t="shared" si="36"/>
        <v>0</v>
      </c>
      <c r="P21" s="10">
        <v>0.33333333333333331</v>
      </c>
      <c r="Q21" s="15">
        <f t="shared" si="37"/>
        <v>0</v>
      </c>
      <c r="R21" s="10"/>
      <c r="S21" s="17"/>
    </row>
    <row r="22" spans="1:19" ht="13.5" x14ac:dyDescent="0.25">
      <c r="A22" s="8" t="s">
        <v>0</v>
      </c>
      <c r="B22" s="9">
        <v>46190</v>
      </c>
      <c r="C22" s="10">
        <v>0.1875</v>
      </c>
      <c r="D22" s="10">
        <v>0.54166666666666663</v>
      </c>
      <c r="E22" s="11"/>
      <c r="F22" s="12"/>
      <c r="G22" s="13">
        <f t="shared" ref="G22:G29" si="38">IF(C22-E22&gt;0,+C22-E22,0)</f>
        <v>0.1875</v>
      </c>
      <c r="H22" s="13">
        <f t="shared" ref="H22:H29" si="39">IF(F22-D22&gt;0,F22-D22,0)</f>
        <v>0</v>
      </c>
      <c r="I22" s="14">
        <f t="shared" ref="I22:I29" si="40">+G22+H22</f>
        <v>0.1875</v>
      </c>
      <c r="J22" s="13">
        <f t="shared" ref="J22:J29" si="41">IF(E22-C22&gt;0,E22-C22,0)</f>
        <v>0</v>
      </c>
      <c r="K22" s="13">
        <f t="shared" ref="K22:K29" si="42">IF(F22-D22&lt;0,+(+F22-D22)*-1,0)</f>
        <v>0.54166666666666663</v>
      </c>
      <c r="L22" s="13">
        <f t="shared" ref="L22:L29" si="43">+J22+K22</f>
        <v>0.54166666666666663</v>
      </c>
      <c r="M22" s="11">
        <v>0.25</v>
      </c>
      <c r="N22" s="15">
        <f t="shared" ref="N22:N24" si="44">+M22-E22</f>
        <v>0.25</v>
      </c>
      <c r="O22" s="16">
        <f t="shared" ref="O22:O29" si="45">(+F22-E22)</f>
        <v>0</v>
      </c>
      <c r="P22" s="10">
        <v>0.33333333333333331</v>
      </c>
      <c r="Q22" s="15">
        <f t="shared" ref="Q22:Q24" si="46">IF(O22-P22&gt;0,O22-P22,0)</f>
        <v>0</v>
      </c>
      <c r="R22" s="16"/>
      <c r="S22" s="17"/>
    </row>
    <row r="23" spans="1:19" ht="13.5" x14ac:dyDescent="0.25">
      <c r="A23" s="8" t="s">
        <v>0</v>
      </c>
      <c r="B23" s="9">
        <v>46191</v>
      </c>
      <c r="C23" s="10">
        <v>0.1875</v>
      </c>
      <c r="D23" s="10">
        <v>0.54166666666666663</v>
      </c>
      <c r="E23" s="11"/>
      <c r="F23" s="12"/>
      <c r="G23" s="13">
        <f t="shared" si="38"/>
        <v>0.1875</v>
      </c>
      <c r="H23" s="13">
        <f t="shared" si="39"/>
        <v>0</v>
      </c>
      <c r="I23" s="14">
        <f t="shared" si="40"/>
        <v>0.1875</v>
      </c>
      <c r="J23" s="13">
        <f t="shared" si="41"/>
        <v>0</v>
      </c>
      <c r="K23" s="13">
        <f t="shared" si="42"/>
        <v>0.54166666666666663</v>
      </c>
      <c r="L23" s="13">
        <f t="shared" si="43"/>
        <v>0.54166666666666663</v>
      </c>
      <c r="M23" s="11">
        <v>0.25</v>
      </c>
      <c r="N23" s="15">
        <f t="shared" si="44"/>
        <v>0.25</v>
      </c>
      <c r="O23" s="16">
        <f t="shared" si="45"/>
        <v>0</v>
      </c>
      <c r="P23" s="10">
        <v>0.33333333333333331</v>
      </c>
      <c r="Q23" s="15">
        <f t="shared" si="46"/>
        <v>0</v>
      </c>
      <c r="R23" s="10"/>
      <c r="S23" s="17"/>
    </row>
    <row r="24" spans="1:19" ht="13.5" x14ac:dyDescent="0.25">
      <c r="A24" s="8" t="s">
        <v>0</v>
      </c>
      <c r="B24" s="9">
        <v>46192</v>
      </c>
      <c r="C24" s="10">
        <v>0.1875</v>
      </c>
      <c r="D24" s="10">
        <v>0.54166666666666663</v>
      </c>
      <c r="E24" s="11"/>
      <c r="F24" s="12"/>
      <c r="G24" s="13">
        <f t="shared" si="38"/>
        <v>0.1875</v>
      </c>
      <c r="H24" s="13">
        <f t="shared" si="39"/>
        <v>0</v>
      </c>
      <c r="I24" s="14">
        <f t="shared" si="40"/>
        <v>0.1875</v>
      </c>
      <c r="J24" s="13">
        <f t="shared" si="41"/>
        <v>0</v>
      </c>
      <c r="K24" s="13">
        <f t="shared" si="42"/>
        <v>0.54166666666666663</v>
      </c>
      <c r="L24" s="13">
        <f t="shared" si="43"/>
        <v>0.54166666666666663</v>
      </c>
      <c r="M24" s="11">
        <v>0.25</v>
      </c>
      <c r="N24" s="15">
        <f t="shared" si="44"/>
        <v>0.25</v>
      </c>
      <c r="O24" s="16">
        <f t="shared" si="45"/>
        <v>0</v>
      </c>
      <c r="P24" s="10">
        <v>0.33333333333333331</v>
      </c>
      <c r="Q24" s="15">
        <f t="shared" si="46"/>
        <v>0</v>
      </c>
      <c r="R24" s="10"/>
      <c r="S24" s="17"/>
    </row>
    <row r="25" spans="1:19" ht="16.5" customHeight="1" x14ac:dyDescent="0.25">
      <c r="A25" s="18" t="s">
        <v>0</v>
      </c>
      <c r="B25" s="19">
        <v>46193</v>
      </c>
      <c r="C25" s="20">
        <v>0.1875</v>
      </c>
      <c r="D25" s="20">
        <v>0.54166666666666663</v>
      </c>
      <c r="E25" s="21"/>
      <c r="F25" s="22"/>
      <c r="G25" s="23">
        <f t="shared" si="38"/>
        <v>0.1875</v>
      </c>
      <c r="H25" s="23">
        <f t="shared" si="39"/>
        <v>0</v>
      </c>
      <c r="I25" s="24">
        <f t="shared" si="40"/>
        <v>0.1875</v>
      </c>
      <c r="J25" s="23">
        <f t="shared" si="41"/>
        <v>0</v>
      </c>
      <c r="K25" s="23">
        <f t="shared" si="42"/>
        <v>0.54166666666666663</v>
      </c>
      <c r="L25" s="23">
        <f t="shared" si="43"/>
        <v>0.54166666666666663</v>
      </c>
      <c r="M25" s="21"/>
      <c r="N25" s="25"/>
      <c r="O25" s="20">
        <f t="shared" si="45"/>
        <v>0</v>
      </c>
      <c r="P25" s="20"/>
      <c r="Q25" s="24"/>
      <c r="R25" s="20">
        <f t="shared" ref="R25" si="47">+F25-E25</f>
        <v>0</v>
      </c>
      <c r="S25" s="17"/>
    </row>
    <row r="26" spans="1:19" ht="13.5" x14ac:dyDescent="0.25">
      <c r="A26" s="8" t="s">
        <v>0</v>
      </c>
      <c r="B26" s="9">
        <v>46195</v>
      </c>
      <c r="C26" s="10">
        <v>0.1875</v>
      </c>
      <c r="D26" s="10">
        <v>0.54166666666666663</v>
      </c>
      <c r="E26" s="11"/>
      <c r="F26" s="12"/>
      <c r="G26" s="13">
        <f t="shared" ref="G26" si="48">IF(C26-E26&gt;0,+C26-E26,0)</f>
        <v>0.1875</v>
      </c>
      <c r="H26" s="13">
        <f t="shared" ref="H26" si="49">IF(F26-D26&gt;0,F26-D26,0)</f>
        <v>0</v>
      </c>
      <c r="I26" s="14">
        <f t="shared" ref="I26" si="50">+G26+H26</f>
        <v>0.1875</v>
      </c>
      <c r="J26" s="13">
        <f t="shared" ref="J26" si="51">IF(E26-C26&gt;0,E26-C26,0)</f>
        <v>0</v>
      </c>
      <c r="K26" s="13">
        <f t="shared" ref="K26" si="52">IF(F26-D26&lt;0,+(+F26-D26)*-1,0)</f>
        <v>0.54166666666666663</v>
      </c>
      <c r="L26" s="13">
        <f t="shared" ref="L26" si="53">+J26+K26</f>
        <v>0.54166666666666663</v>
      </c>
      <c r="M26" s="11">
        <v>0.25</v>
      </c>
      <c r="N26" s="15">
        <f t="shared" ref="N26" si="54">+M26-E26</f>
        <v>0.25</v>
      </c>
      <c r="O26" s="16">
        <f t="shared" ref="O26" si="55">(+F26-E26)</f>
        <v>0</v>
      </c>
      <c r="P26" s="10">
        <v>0.33333333333333331</v>
      </c>
      <c r="Q26" s="15">
        <f t="shared" ref="Q26" si="56">IF(O26-P26&gt;0,O26-P26,0)</f>
        <v>0</v>
      </c>
      <c r="R26" s="10"/>
      <c r="S26" s="17"/>
    </row>
    <row r="27" spans="1:19" ht="13.5" x14ac:dyDescent="0.25">
      <c r="A27" s="8" t="s">
        <v>0</v>
      </c>
      <c r="B27" s="9">
        <v>46196</v>
      </c>
      <c r="C27" s="10">
        <v>0.1875</v>
      </c>
      <c r="D27" s="10">
        <v>0.54166666666666663</v>
      </c>
      <c r="E27" s="11"/>
      <c r="F27" s="12"/>
      <c r="G27" s="13">
        <f t="shared" si="38"/>
        <v>0.1875</v>
      </c>
      <c r="H27" s="13">
        <f t="shared" si="39"/>
        <v>0</v>
      </c>
      <c r="I27" s="14">
        <f t="shared" si="40"/>
        <v>0.1875</v>
      </c>
      <c r="J27" s="13">
        <f t="shared" si="41"/>
        <v>0</v>
      </c>
      <c r="K27" s="13">
        <f t="shared" si="42"/>
        <v>0.54166666666666663</v>
      </c>
      <c r="L27" s="13">
        <f t="shared" si="43"/>
        <v>0.54166666666666663</v>
      </c>
      <c r="M27" s="11">
        <v>0.25</v>
      </c>
      <c r="N27" s="15">
        <f t="shared" ref="N27:N28" si="57">+M27-E27</f>
        <v>0.25</v>
      </c>
      <c r="O27" s="16">
        <f t="shared" si="45"/>
        <v>0</v>
      </c>
      <c r="P27" s="10">
        <v>0.33333333333333331</v>
      </c>
      <c r="Q27" s="15">
        <f t="shared" ref="Q27:Q28" si="58">IF(O27-P27&gt;0,O27-P27,0)</f>
        <v>0</v>
      </c>
      <c r="R27" s="10"/>
      <c r="S27" s="17"/>
    </row>
    <row r="28" spans="1:19" ht="13.5" x14ac:dyDescent="0.25">
      <c r="A28" s="8" t="s">
        <v>0</v>
      </c>
      <c r="B28" s="9">
        <v>46197</v>
      </c>
      <c r="C28" s="10">
        <v>0.1875</v>
      </c>
      <c r="D28" s="10">
        <v>0.54166666666666663</v>
      </c>
      <c r="E28" s="11"/>
      <c r="F28" s="12"/>
      <c r="G28" s="13">
        <f t="shared" ref="G28" si="59">IF(C28-E28&gt;0,+C28-E28,0)</f>
        <v>0.1875</v>
      </c>
      <c r="H28" s="13">
        <f t="shared" ref="H28" si="60">IF(F28-D28&gt;0,F28-D28,0)</f>
        <v>0</v>
      </c>
      <c r="I28" s="14">
        <f t="shared" ref="I28" si="61">+G28+H28</f>
        <v>0.1875</v>
      </c>
      <c r="J28" s="13">
        <f t="shared" ref="J28" si="62">IF(E28-C28&gt;0,E28-C28,0)</f>
        <v>0</v>
      </c>
      <c r="K28" s="13">
        <f t="shared" ref="K28" si="63">IF(F28-D28&lt;0,+(+F28-D28)*-1,0)</f>
        <v>0.54166666666666663</v>
      </c>
      <c r="L28" s="13">
        <f t="shared" ref="L28" si="64">+J28+K28</f>
        <v>0.54166666666666663</v>
      </c>
      <c r="M28" s="11">
        <v>0.25</v>
      </c>
      <c r="N28" s="15">
        <f t="shared" si="57"/>
        <v>0.25</v>
      </c>
      <c r="O28" s="16">
        <f t="shared" ref="O28" si="65">(+F28-E28)</f>
        <v>0</v>
      </c>
      <c r="P28" s="10">
        <v>0.33333333333333331</v>
      </c>
      <c r="Q28" s="15">
        <f t="shared" si="58"/>
        <v>0</v>
      </c>
      <c r="R28" s="16"/>
      <c r="S28" s="17"/>
    </row>
    <row r="29" spans="1:19" ht="13.5" x14ac:dyDescent="0.25">
      <c r="A29" s="8" t="s">
        <v>0</v>
      </c>
      <c r="B29" s="9">
        <v>46198</v>
      </c>
      <c r="C29" s="10">
        <v>0.1875</v>
      </c>
      <c r="D29" s="10">
        <v>0.54166666666666663</v>
      </c>
      <c r="E29" s="11"/>
      <c r="F29" s="12"/>
      <c r="G29" s="13">
        <f t="shared" si="38"/>
        <v>0.1875</v>
      </c>
      <c r="H29" s="13">
        <f t="shared" si="39"/>
        <v>0</v>
      </c>
      <c r="I29" s="14">
        <f t="shared" si="40"/>
        <v>0.1875</v>
      </c>
      <c r="J29" s="13">
        <f t="shared" si="41"/>
        <v>0</v>
      </c>
      <c r="K29" s="13">
        <f t="shared" si="42"/>
        <v>0.54166666666666663</v>
      </c>
      <c r="L29" s="13">
        <f t="shared" si="43"/>
        <v>0.54166666666666663</v>
      </c>
      <c r="M29" s="11">
        <v>0.25</v>
      </c>
      <c r="N29" s="15">
        <f t="shared" ref="N29:N30" si="66">+M29-E29</f>
        <v>0.25</v>
      </c>
      <c r="O29" s="16">
        <f t="shared" si="45"/>
        <v>0</v>
      </c>
      <c r="P29" s="10">
        <v>0.33333333333333331</v>
      </c>
      <c r="Q29" s="15">
        <f t="shared" ref="Q29:Q30" si="67">IF(O29-P29&gt;0,O29-P29,0)</f>
        <v>0</v>
      </c>
      <c r="R29" s="10"/>
      <c r="S29" s="17"/>
    </row>
    <row r="30" spans="1:19" ht="13.5" x14ac:dyDescent="0.25">
      <c r="A30" s="8" t="s">
        <v>0</v>
      </c>
      <c r="B30" s="9">
        <v>46199</v>
      </c>
      <c r="C30" s="10">
        <v>0.1875</v>
      </c>
      <c r="D30" s="10">
        <v>0.54166666666666663</v>
      </c>
      <c r="E30" s="11"/>
      <c r="F30" s="12"/>
      <c r="G30" s="13">
        <f t="shared" ref="G30:G33" si="68">IF(C30-E30&gt;0,+C30-E30,0)</f>
        <v>0.1875</v>
      </c>
      <c r="H30" s="13">
        <f t="shared" ref="H30:H33" si="69">IF(F30-D30&gt;0,F30-D30,0)</f>
        <v>0</v>
      </c>
      <c r="I30" s="14">
        <f t="shared" ref="I30:I33" si="70">+G30+H30</f>
        <v>0.1875</v>
      </c>
      <c r="J30" s="13">
        <f t="shared" ref="J30:J33" si="71">IF(E30-C30&gt;0,E30-C30,0)</f>
        <v>0</v>
      </c>
      <c r="K30" s="13">
        <f t="shared" ref="K30:K33" si="72">IF(F30-D30&lt;0,+(+F30-D30)*-1,0)</f>
        <v>0.54166666666666663</v>
      </c>
      <c r="L30" s="13">
        <f t="shared" ref="L30:L33" si="73">+J30+K30</f>
        <v>0.54166666666666663</v>
      </c>
      <c r="M30" s="11">
        <v>0.25</v>
      </c>
      <c r="N30" s="15">
        <f t="shared" si="66"/>
        <v>0.25</v>
      </c>
      <c r="O30" s="16">
        <f t="shared" ref="O30:O33" si="74">(+F30-E30)</f>
        <v>0</v>
      </c>
      <c r="P30" s="10">
        <v>0.33333333333333331</v>
      </c>
      <c r="Q30" s="15">
        <f t="shared" si="67"/>
        <v>0</v>
      </c>
      <c r="R30" s="10"/>
      <c r="S30" s="17"/>
    </row>
    <row r="31" spans="1:19" ht="13.5" x14ac:dyDescent="0.25">
      <c r="A31" s="18" t="s">
        <v>0</v>
      </c>
      <c r="B31" s="19">
        <v>46200</v>
      </c>
      <c r="C31" s="20">
        <v>0.1875</v>
      </c>
      <c r="D31" s="20">
        <v>0.54166666666666663</v>
      </c>
      <c r="E31" s="21"/>
      <c r="F31" s="22"/>
      <c r="G31" s="23">
        <f t="shared" ref="G31:G33" si="75">IF(C31-E31&gt;0,+C31-E31,0)</f>
        <v>0.1875</v>
      </c>
      <c r="H31" s="23">
        <f t="shared" ref="H31:H33" si="76">IF(F31-D31&gt;0,F31-D31,0)</f>
        <v>0</v>
      </c>
      <c r="I31" s="24">
        <f t="shared" ref="I31:I33" si="77">+G31+H31</f>
        <v>0.1875</v>
      </c>
      <c r="J31" s="23">
        <f t="shared" ref="J31:J33" si="78">IF(E31-C31&gt;0,E31-C31,0)</f>
        <v>0</v>
      </c>
      <c r="K31" s="23">
        <f t="shared" ref="K31:K33" si="79">IF(F31-D31&lt;0,+(+F31-D31)*-1,0)</f>
        <v>0.54166666666666663</v>
      </c>
      <c r="L31" s="23">
        <f t="shared" ref="L31:L33" si="80">+J31+K31</f>
        <v>0.54166666666666663</v>
      </c>
      <c r="M31" s="21"/>
      <c r="N31" s="25"/>
      <c r="O31" s="20">
        <f t="shared" ref="O31:O33" si="81">(+F31-E31)</f>
        <v>0</v>
      </c>
      <c r="P31" s="20"/>
      <c r="Q31" s="24"/>
      <c r="R31" s="20">
        <f t="shared" ref="R31" si="82">+F31-E31</f>
        <v>0</v>
      </c>
      <c r="S31" s="17"/>
    </row>
    <row r="32" spans="1:19" ht="13.5" x14ac:dyDescent="0.25">
      <c r="A32" s="8" t="s">
        <v>0</v>
      </c>
      <c r="B32" s="9">
        <v>46202</v>
      </c>
      <c r="C32" s="10">
        <v>0.1875</v>
      </c>
      <c r="D32" s="10">
        <v>0.54166666666666663</v>
      </c>
      <c r="E32" s="11"/>
      <c r="F32" s="12"/>
      <c r="G32" s="13">
        <f t="shared" si="75"/>
        <v>0.1875</v>
      </c>
      <c r="H32" s="13">
        <f t="shared" si="76"/>
        <v>0</v>
      </c>
      <c r="I32" s="14">
        <f t="shared" si="77"/>
        <v>0.1875</v>
      </c>
      <c r="J32" s="13">
        <f t="shared" si="78"/>
        <v>0</v>
      </c>
      <c r="K32" s="13">
        <f t="shared" si="79"/>
        <v>0.54166666666666663</v>
      </c>
      <c r="L32" s="13">
        <f t="shared" si="80"/>
        <v>0.54166666666666663</v>
      </c>
      <c r="M32" s="11">
        <v>0.25</v>
      </c>
      <c r="N32" s="15">
        <f t="shared" ref="N32:N33" si="83">+M32-E32</f>
        <v>0.25</v>
      </c>
      <c r="O32" s="16">
        <f t="shared" si="81"/>
        <v>0</v>
      </c>
      <c r="P32" s="10">
        <v>0.33333333333333331</v>
      </c>
      <c r="Q32" s="15">
        <f t="shared" ref="Q32:Q33" si="84">IF(O32-P32&gt;0,O32-P32,0)</f>
        <v>0</v>
      </c>
      <c r="R32" s="16"/>
      <c r="S32" s="17"/>
    </row>
    <row r="33" spans="1:19" ht="13.5" x14ac:dyDescent="0.25">
      <c r="A33" s="8" t="s">
        <v>0</v>
      </c>
      <c r="B33" s="9">
        <v>46203</v>
      </c>
      <c r="C33" s="10">
        <v>0.1875</v>
      </c>
      <c r="D33" s="10">
        <v>0.54166666666666663</v>
      </c>
      <c r="E33" s="11"/>
      <c r="F33" s="12"/>
      <c r="G33" s="13">
        <f t="shared" si="75"/>
        <v>0.1875</v>
      </c>
      <c r="H33" s="13">
        <f t="shared" si="76"/>
        <v>0</v>
      </c>
      <c r="I33" s="14">
        <f t="shared" si="77"/>
        <v>0.1875</v>
      </c>
      <c r="J33" s="13">
        <f t="shared" si="78"/>
        <v>0</v>
      </c>
      <c r="K33" s="13">
        <f t="shared" si="79"/>
        <v>0.54166666666666663</v>
      </c>
      <c r="L33" s="13">
        <f t="shared" si="80"/>
        <v>0.54166666666666663</v>
      </c>
      <c r="M33" s="11">
        <v>0.25</v>
      </c>
      <c r="N33" s="15">
        <f t="shared" si="83"/>
        <v>0.25</v>
      </c>
      <c r="O33" s="16">
        <f t="shared" si="81"/>
        <v>0</v>
      </c>
      <c r="P33" s="10">
        <v>0.33333333333333331</v>
      </c>
      <c r="Q33" s="15">
        <f t="shared" si="84"/>
        <v>0</v>
      </c>
      <c r="R33" s="10"/>
      <c r="S33" s="17"/>
    </row>
    <row r="34" spans="1:19" ht="13.5" x14ac:dyDescent="0.25">
      <c r="A34" s="28"/>
      <c r="B34" s="29"/>
      <c r="C34" s="30"/>
      <c r="D34" s="30"/>
      <c r="E34" s="31"/>
      <c r="F34" s="31"/>
      <c r="G34" s="29"/>
      <c r="H34" s="29"/>
      <c r="I34" s="29"/>
      <c r="J34" s="29"/>
      <c r="K34" s="29"/>
      <c r="L34" s="29"/>
      <c r="M34" s="29"/>
      <c r="N34" s="32">
        <f>SUM(N8:N33)</f>
        <v>5.5</v>
      </c>
      <c r="O34" s="29"/>
      <c r="P34" s="29"/>
      <c r="Q34" s="32">
        <f>SUM(Q8:Q33)</f>
        <v>0</v>
      </c>
      <c r="R34" s="32">
        <f>SUM(R8:R33)</f>
        <v>0</v>
      </c>
    </row>
    <row r="35" spans="1:19" ht="12.75" thickBot="1" x14ac:dyDescent="0.25">
      <c r="A35" s="33"/>
      <c r="C35" s="34"/>
      <c r="D35" s="34"/>
      <c r="Q35" s="35"/>
    </row>
    <row r="36" spans="1:19" ht="36" x14ac:dyDescent="0.2">
      <c r="A36" s="36"/>
      <c r="F36" s="63" t="s">
        <v>21</v>
      </c>
      <c r="G36" s="64"/>
      <c r="H36" s="6" t="s">
        <v>22</v>
      </c>
      <c r="I36" s="6" t="s">
        <v>23</v>
      </c>
      <c r="J36" s="5" t="s">
        <v>24</v>
      </c>
      <c r="K36" s="6" t="s">
        <v>25</v>
      </c>
      <c r="L36" s="37" t="s">
        <v>26</v>
      </c>
      <c r="M36" s="38" t="s">
        <v>27</v>
      </c>
      <c r="N36" s="39" t="s">
        <v>28</v>
      </c>
      <c r="O36" s="40" t="s">
        <v>29</v>
      </c>
      <c r="Q36" s="41"/>
    </row>
    <row r="37" spans="1:19" x14ac:dyDescent="0.2">
      <c r="A37" s="42"/>
      <c r="F37" s="63" t="s">
        <v>33</v>
      </c>
      <c r="G37" s="64"/>
      <c r="H37" s="43">
        <v>17</v>
      </c>
      <c r="I37" s="43">
        <v>46</v>
      </c>
      <c r="J37" s="44">
        <v>5.3330000000000002</v>
      </c>
      <c r="K37" s="43">
        <v>0.25</v>
      </c>
      <c r="L37" s="45">
        <f>+J37*K37</f>
        <v>1.33325</v>
      </c>
      <c r="M37" s="46">
        <f>+H37*L37</f>
        <v>22.66525</v>
      </c>
      <c r="N37" s="47">
        <f>(+L37/60)*I37</f>
        <v>1.0221583333333335</v>
      </c>
      <c r="O37" s="48">
        <f>+M37+N37</f>
        <v>23.687408333333334</v>
      </c>
    </row>
    <row r="38" spans="1:19" x14ac:dyDescent="0.2">
      <c r="A38" s="17"/>
      <c r="F38" s="63" t="s">
        <v>34</v>
      </c>
      <c r="G38" s="64"/>
      <c r="H38" s="43">
        <v>2</v>
      </c>
      <c r="I38" s="43">
        <v>54</v>
      </c>
      <c r="J38" s="44">
        <v>5.3330000000000002</v>
      </c>
      <c r="K38" s="43">
        <v>1.5</v>
      </c>
      <c r="L38" s="45">
        <f>+J38*K38</f>
        <v>7.9995000000000003</v>
      </c>
      <c r="M38" s="46">
        <f>+H38*L38</f>
        <v>15.999000000000001</v>
      </c>
      <c r="N38" s="47">
        <f>(+L38/60)*I38</f>
        <v>7.1995500000000003</v>
      </c>
      <c r="O38" s="48">
        <f t="shared" ref="O38:O39" si="85">+M38+N38</f>
        <v>23.198550000000001</v>
      </c>
    </row>
    <row r="39" spans="1:19" x14ac:dyDescent="0.2">
      <c r="A39" s="49"/>
      <c r="F39" s="63" t="s">
        <v>35</v>
      </c>
      <c r="G39" s="64"/>
      <c r="H39" s="43">
        <v>65</v>
      </c>
      <c r="I39" s="43">
        <v>1</v>
      </c>
      <c r="J39" s="44">
        <v>5.3330000000000002</v>
      </c>
      <c r="K39" s="43">
        <v>2</v>
      </c>
      <c r="L39" s="45">
        <f>+J39*K39</f>
        <v>10.666</v>
      </c>
      <c r="M39" s="46">
        <f>+H39*L39</f>
        <v>693.29000000000008</v>
      </c>
      <c r="N39" s="47">
        <f>(+L39/60)*I39</f>
        <v>0.17776666666666668</v>
      </c>
      <c r="O39" s="48">
        <f t="shared" si="85"/>
        <v>693.46776666666676</v>
      </c>
      <c r="Q39" s="50"/>
      <c r="R39" s="50"/>
    </row>
    <row r="40" spans="1:19" ht="21.75" customHeight="1" thickBot="1" x14ac:dyDescent="0.25">
      <c r="A40" s="42"/>
      <c r="K40" s="51" t="s">
        <v>30</v>
      </c>
      <c r="L40" s="52"/>
      <c r="M40" s="53">
        <f>SUM(M37:M39)</f>
        <v>731.95425000000012</v>
      </c>
      <c r="N40" s="53">
        <f>SUM(N37:N39)</f>
        <v>8.3994750000000007</v>
      </c>
      <c r="O40" s="54">
        <f>SUM(O37:O39)</f>
        <v>740.35372500000005</v>
      </c>
      <c r="Q40" s="65" t="s">
        <v>31</v>
      </c>
      <c r="R40" s="65"/>
    </row>
    <row r="41" spans="1:19" x14ac:dyDescent="0.2">
      <c r="A41" s="28"/>
      <c r="L41" s="55"/>
    </row>
    <row r="42" spans="1:19" ht="23.25" customHeight="1" x14ac:dyDescent="0.2"/>
    <row r="45" spans="1:19" x14ac:dyDescent="0.2">
      <c r="A45" s="28"/>
    </row>
    <row r="46" spans="1:19" x14ac:dyDescent="0.2">
      <c r="A46" s="28"/>
    </row>
    <row r="47" spans="1:19" x14ac:dyDescent="0.2">
      <c r="A47" s="28"/>
      <c r="E47" s="56"/>
      <c r="J47" s="55"/>
    </row>
    <row r="48" spans="1:19" x14ac:dyDescent="0.2">
      <c r="A48" s="28"/>
    </row>
    <row r="49" spans="1:5" x14ac:dyDescent="0.2">
      <c r="A49" s="28"/>
    </row>
    <row r="50" spans="1:5" ht="21.75" customHeight="1" x14ac:dyDescent="0.2">
      <c r="A50" s="28"/>
    </row>
    <row r="51" spans="1:5" x14ac:dyDescent="0.2">
      <c r="A51" s="28"/>
    </row>
    <row r="53" spans="1:5" x14ac:dyDescent="0.2">
      <c r="E53" s="56"/>
    </row>
  </sheetData>
  <mergeCells count="13">
    <mergeCell ref="E6:E7"/>
    <mergeCell ref="D6:D7"/>
    <mergeCell ref="C6:C7"/>
    <mergeCell ref="B6:B7"/>
    <mergeCell ref="A6:A7"/>
    <mergeCell ref="F36:G36"/>
    <mergeCell ref="Q40:R40"/>
    <mergeCell ref="F6:F7"/>
    <mergeCell ref="G6:L6"/>
    <mergeCell ref="M6:R6"/>
    <mergeCell ref="F37:G37"/>
    <mergeCell ref="F38:G38"/>
    <mergeCell ref="F39:G39"/>
  </mergeCells>
  <pageMargins left="0" right="0" top="0" bottom="0" header="0" footer="0"/>
  <pageSetup paperSize="9" scale="77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CALCULO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2026-06-01T13:50:54Z</cp:lastPrinted>
  <dcterms:created xsi:type="dcterms:W3CDTF">2014-07-31T14:10:37Z</dcterms:created>
  <dcterms:modified xsi:type="dcterms:W3CDTF">2026-06-18T19:23:00Z</dcterms:modified>
</cp:coreProperties>
</file>