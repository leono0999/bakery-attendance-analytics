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1" autoFilterDateGrouping="1"/>
  </bookViews>
  <sheets>
    <sheet name="JUNIO" sheetId="1" state="visible" r:id="rId1"/>
    <sheet name="CALCULO " sheetId="2" state="visible" r:id="rId2"/>
    <sheet name="Hoja1" sheetId="3" state="visible" r:id="rId3"/>
    <sheet name="Hoja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* #,##0.000_-;\-* #,##0.000_-;_-* &quot;-&quot;??_-;_-@_-"/>
    <numFmt numFmtId="165" formatCode="_-* #,##0.00_-;\-* #,##0.00_-;_-* &quot;-&quot;??_-;_-@_-"/>
    <numFmt numFmtId="166" formatCode="_-* #,##0.0000_-;\-* #,##0.0000_-;_-* &quot;-&quot;??_-;_-@_-"/>
    <numFmt numFmtId="167" formatCode="dd/mm/yyyy"/>
    <numFmt numFmtId="168" formatCode="hh:mm:ss"/>
  </numFmts>
  <fonts count="17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Berlin Sans FB"/>
      <family val="2"/>
      <color theme="1"/>
      <sz val="10"/>
    </font>
    <font>
      <name val="Berlin Sans FB"/>
      <family val="2"/>
      <sz val="10"/>
    </font>
    <font>
      <name val="Berlin Sans FB"/>
      <family val="2"/>
      <color theme="1"/>
      <sz val="9"/>
    </font>
    <font>
      <name val="Berlin Sans FB"/>
      <family val="2"/>
      <color theme="1"/>
      <sz val="8"/>
    </font>
    <font>
      <name val="Calibri"/>
      <family val="2"/>
      <color theme="1"/>
      <sz val="10"/>
    </font>
    <font>
      <name val="Eras Medium ITC"/>
      <family val="2"/>
      <sz val="8"/>
    </font>
    <font>
      <name val="Tahoma"/>
      <family val="2"/>
      <sz val="8"/>
    </font>
    <font>
      <name val="Arial"/>
      <family val="2"/>
      <sz val="8"/>
    </font>
    <font>
      <name val="Malgun Gothic"/>
      <family val="2"/>
      <sz val="9"/>
    </font>
    <font>
      <name val="Malgun Gothic"/>
      <family val="2"/>
      <sz val="10"/>
    </font>
    <font>
      <name val="Malgun Gothic"/>
      <family val="2"/>
      <b val="1"/>
      <sz val="10"/>
    </font>
    <font>
      <name val="Malgun Gothic"/>
      <family val="2"/>
      <b val="1"/>
      <sz val="9"/>
    </font>
    <font>
      <name val="Tahoma"/>
      <family val="2"/>
      <sz val="8"/>
    </font>
    <font>
      <name val="Tahoma"/>
      <charset val="1"/>
      <sz val="8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43" fontId="1" fillId="0" borderId="0"/>
  </cellStyleXfs>
  <cellXfs count="186">
    <xf numFmtId="0" fontId="0" fillId="0" borderId="0" pivotButton="0" quotePrefix="0" xfId="0"/>
    <xf numFmtId="0" fontId="3" fillId="0" borderId="0" pivotButton="0" quotePrefix="0" xfId="0"/>
    <xf numFmtId="0" fontId="4" fillId="0" borderId="3" applyAlignment="1" pivotButton="0" quotePrefix="0" xfId="0">
      <alignment horizontal="center"/>
    </xf>
    <xf numFmtId="21" fontId="4" fillId="0" borderId="3" applyAlignment="1" pivotButton="0" quotePrefix="0" xfId="0">
      <alignment horizontal="center" vertical="center"/>
    </xf>
    <xf numFmtId="21" fontId="4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4" fillId="0" borderId="3" applyAlignment="1" pivotButton="0" quotePrefix="0" xfId="1">
      <alignment horizontal="left"/>
    </xf>
    <xf numFmtId="14" fontId="4" fillId="0" borderId="3" pivotButton="0" quotePrefix="0" xfId="1"/>
    <xf numFmtId="21" fontId="4" fillId="0" borderId="3" pivotButton="0" quotePrefix="0" xfId="1"/>
    <xf numFmtId="21" fontId="4" fillId="0" borderId="3" applyAlignment="1" pivotButton="0" quotePrefix="0" xfId="1">
      <alignment horizontal="right"/>
    </xf>
    <xf numFmtId="21" fontId="4" fillId="0" borderId="5" applyAlignment="1" pivotButton="0" quotePrefix="0" xfId="1">
      <alignment horizontal="right"/>
    </xf>
    <xf numFmtId="21" fontId="4" fillId="0" borderId="13" applyAlignment="1" pivotButton="0" quotePrefix="0" xfId="0">
      <alignment horizontal="right"/>
    </xf>
    <xf numFmtId="21" fontId="4" fillId="0" borderId="3" applyAlignment="1" pivotButton="0" quotePrefix="0" xfId="0">
      <alignment horizontal="right"/>
    </xf>
    <xf numFmtId="20" fontId="3" fillId="0" borderId="14" applyAlignment="1" pivotButton="0" quotePrefix="0" xfId="0">
      <alignment horizontal="right"/>
    </xf>
    <xf numFmtId="21" fontId="3" fillId="0" borderId="2" applyAlignment="1" pivotButton="0" quotePrefix="0" xfId="0">
      <alignment horizontal="center"/>
    </xf>
    <xf numFmtId="21" fontId="3" fillId="0" borderId="3" pivotButton="0" quotePrefix="0" xfId="0"/>
    <xf numFmtId="49" fontId="3" fillId="0" borderId="0" applyAlignment="1" pivotButton="0" quotePrefix="0" xfId="0">
      <alignment horizontal="left" vertical="center"/>
    </xf>
    <xf numFmtId="0" fontId="4" fillId="4" borderId="3" applyAlignment="1" pivotButton="0" quotePrefix="0" xfId="1">
      <alignment horizontal="left"/>
    </xf>
    <xf numFmtId="14" fontId="4" fillId="4" borderId="3" pivotButton="0" quotePrefix="0" xfId="1"/>
    <xf numFmtId="21" fontId="4" fillId="4" borderId="3" pivotButton="0" quotePrefix="0" xfId="1"/>
    <xf numFmtId="21" fontId="4" fillId="4" borderId="3" applyAlignment="1" pivotButton="0" quotePrefix="0" xfId="1">
      <alignment horizontal="right"/>
    </xf>
    <xf numFmtId="21" fontId="4" fillId="4" borderId="5" applyAlignment="1" pivotButton="0" quotePrefix="0" xfId="1">
      <alignment horizontal="right"/>
    </xf>
    <xf numFmtId="21" fontId="4" fillId="4" borderId="13" applyAlignment="1" pivotButton="0" quotePrefix="0" xfId="0">
      <alignment horizontal="right"/>
    </xf>
    <xf numFmtId="21" fontId="4" fillId="4" borderId="3" applyAlignment="1" pivotButton="0" quotePrefix="0" xfId="0">
      <alignment horizontal="right"/>
    </xf>
    <xf numFmtId="20" fontId="3" fillId="4" borderId="14" applyAlignment="1" pivotButton="0" quotePrefix="0" xfId="0">
      <alignment horizontal="right"/>
    </xf>
    <xf numFmtId="21" fontId="3" fillId="4" borderId="2" applyAlignment="1" pivotButton="0" quotePrefix="0" xfId="0">
      <alignment horizontal="center"/>
    </xf>
    <xf numFmtId="21" fontId="4" fillId="4" borderId="3" applyAlignment="1" pivotButton="0" quotePrefix="0" xfId="0">
      <alignment horizontal="center"/>
    </xf>
    <xf numFmtId="21" fontId="3" fillId="4" borderId="3" pivotButton="0" quotePrefix="0" xfId="0"/>
    <xf numFmtId="49" fontId="3" fillId="0" borderId="0" applyAlignment="1" pivotButton="0" quotePrefix="0" xfId="0">
      <alignment horizontal="left"/>
    </xf>
    <xf numFmtId="46" fontId="3" fillId="3" borderId="0" pivotButton="0" quotePrefix="0" xfId="0"/>
    <xf numFmtId="49" fontId="3" fillId="0" borderId="0" pivotButton="0" quotePrefix="0" xfId="0"/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/>
    </xf>
    <xf numFmtId="0" fontId="5" fillId="0" borderId="3" pivotButton="0" quotePrefix="0" xfId="0"/>
    <xf numFmtId="2" fontId="5" fillId="0" borderId="3" pivotButton="0" quotePrefix="0" xfId="0"/>
    <xf numFmtId="164" fontId="5" fillId="0" borderId="3" pivotButton="0" quotePrefix="0" xfId="2"/>
    <xf numFmtId="165" fontId="5" fillId="0" borderId="3" pivotButton="0" quotePrefix="0" xfId="2"/>
    <xf numFmtId="165" fontId="5" fillId="0" borderId="5" pivotButton="0" quotePrefix="0" xfId="0"/>
    <xf numFmtId="2" fontId="5" fillId="0" borderId="13" pivotButton="0" quotePrefix="0" xfId="2"/>
    <xf numFmtId="2" fontId="5" fillId="0" borderId="14" pivotButton="0" quotePrefix="0" xfId="0"/>
    <xf numFmtId="0" fontId="3" fillId="0" borderId="19" pivotButton="0" quotePrefix="0" xfId="0"/>
    <xf numFmtId="0" fontId="5" fillId="0" borderId="0" pivotButton="0" quotePrefix="0" xfId="0"/>
    <xf numFmtId="0" fontId="5" fillId="0" borderId="5" pivotButton="0" quotePrefix="0" xfId="0"/>
    <xf numFmtId="2" fontId="5" fillId="0" borderId="15" pivotButton="0" quotePrefix="0" xfId="0"/>
    <xf numFmtId="2" fontId="5" fillId="0" borderId="20" pivotButton="0" quotePrefix="0" xfId="0"/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wrapText="1"/>
    </xf>
    <xf numFmtId="0" fontId="4" fillId="0" borderId="3" applyAlignment="1" pivotButton="0" quotePrefix="0" xfId="0">
      <alignment horizontal="center" wrapText="1"/>
    </xf>
    <xf numFmtId="0" fontId="4" fillId="3" borderId="3" applyAlignment="1" pivotButton="0" quotePrefix="0" xfId="0">
      <alignment horizontal="center" wrapText="1"/>
    </xf>
    <xf numFmtId="0" fontId="4" fillId="0" borderId="2" applyAlignment="1" pivotButton="0" quotePrefix="0" xfId="0">
      <alignment horizontal="center"/>
    </xf>
    <xf numFmtId="21" fontId="3" fillId="0" borderId="0" pivotButton="0" quotePrefix="0" xfId="0"/>
    <xf numFmtId="1" fontId="3" fillId="0" borderId="0" pivotButton="0" quotePrefix="0" xfId="0"/>
    <xf numFmtId="21" fontId="7" fillId="0" borderId="3" pivotButton="0" quotePrefix="0" xfId="0"/>
    <xf numFmtId="0" fontId="3" fillId="3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9" fillId="7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11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/>
    </xf>
    <xf numFmtId="0" fontId="11" fillId="5" borderId="0" pivotButton="0" quotePrefix="0" xfId="0"/>
    <xf numFmtId="0" fontId="11" fillId="0" borderId="2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 vertical="center" wrapText="1"/>
    </xf>
    <xf numFmtId="21" fontId="11" fillId="0" borderId="3" applyAlignment="1" pivotButton="0" quotePrefix="0" xfId="0">
      <alignment horizontal="center" vertical="center"/>
    </xf>
    <xf numFmtId="21" fontId="11" fillId="0" borderId="3" applyAlignment="1" pivotButton="0" quotePrefix="0" xfId="0">
      <alignment horizontal="center"/>
    </xf>
    <xf numFmtId="0" fontId="11" fillId="0" borderId="10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wrapText="1"/>
    </xf>
    <xf numFmtId="0" fontId="11" fillId="0" borderId="3" applyAlignment="1" pivotButton="0" quotePrefix="0" xfId="0">
      <alignment horizontal="center" wrapText="1"/>
    </xf>
    <xf numFmtId="0" fontId="11" fillId="5" borderId="3" applyAlignment="1" pivotButton="0" quotePrefix="0" xfId="0">
      <alignment horizontal="center" wrapText="1"/>
    </xf>
    <xf numFmtId="0" fontId="12" fillId="0" borderId="3" applyAlignment="1" pivotButton="0" quotePrefix="0" xfId="1">
      <alignment horizontal="left"/>
    </xf>
    <xf numFmtId="14" fontId="12" fillId="0" borderId="3" pivotButton="0" quotePrefix="0" xfId="1"/>
    <xf numFmtId="21" fontId="12" fillId="0" borderId="3" pivotButton="0" quotePrefix="0" xfId="1"/>
    <xf numFmtId="20" fontId="12" fillId="5" borderId="3" applyAlignment="1" pivotButton="0" quotePrefix="0" xfId="0">
      <alignment horizontal="center"/>
    </xf>
    <xf numFmtId="21" fontId="12" fillId="0" borderId="2" applyAlignment="1" pivotButton="0" quotePrefix="0" xfId="0">
      <alignment horizontal="right"/>
    </xf>
    <xf numFmtId="21" fontId="12" fillId="0" borderId="3" applyAlignment="1" pivotButton="0" quotePrefix="0" xfId="0">
      <alignment horizontal="right"/>
    </xf>
    <xf numFmtId="20" fontId="12" fillId="0" borderId="14" applyAlignment="1" pivotButton="0" quotePrefix="0" xfId="0">
      <alignment horizontal="right"/>
    </xf>
    <xf numFmtId="21" fontId="12" fillId="0" borderId="2" applyAlignment="1" pivotButton="0" quotePrefix="0" xfId="0">
      <alignment horizontal="left"/>
    </xf>
    <xf numFmtId="21" fontId="12" fillId="0" borderId="2" applyAlignment="1" pivotButton="0" quotePrefix="0" xfId="0">
      <alignment horizontal="center"/>
    </xf>
    <xf numFmtId="21" fontId="12" fillId="0" borderId="3" pivotButton="0" quotePrefix="0" xfId="0"/>
    <xf numFmtId="21" fontId="12" fillId="5" borderId="3" pivotButton="0" quotePrefix="0" xfId="0"/>
    <xf numFmtId="21" fontId="12" fillId="0" borderId="3" applyAlignment="1" pivotButton="0" quotePrefix="0" xfId="0">
      <alignment horizontal="center"/>
    </xf>
    <xf numFmtId="49" fontId="11" fillId="0" borderId="0" applyAlignment="1" pivotButton="0" quotePrefix="0" xfId="0">
      <alignment horizontal="left" vertical="center"/>
    </xf>
    <xf numFmtId="0" fontId="12" fillId="4" borderId="3" applyAlignment="1" pivotButton="0" quotePrefix="0" xfId="1">
      <alignment horizontal="left"/>
    </xf>
    <xf numFmtId="14" fontId="12" fillId="4" borderId="3" pivotButton="0" quotePrefix="0" xfId="1"/>
    <xf numFmtId="21" fontId="12" fillId="4" borderId="3" pivotButton="0" quotePrefix="0" xfId="1"/>
    <xf numFmtId="20" fontId="12" fillId="4" borderId="3" applyAlignment="1" pivotButton="0" quotePrefix="0" xfId="0">
      <alignment horizontal="center"/>
    </xf>
    <xf numFmtId="21" fontId="12" fillId="4" borderId="2" applyAlignment="1" pivotButton="0" quotePrefix="0" xfId="0">
      <alignment horizontal="right"/>
    </xf>
    <xf numFmtId="21" fontId="12" fillId="4" borderId="3" applyAlignment="1" pivotButton="0" quotePrefix="0" xfId="0">
      <alignment horizontal="right"/>
    </xf>
    <xf numFmtId="20" fontId="12" fillId="4" borderId="14" applyAlignment="1" pivotButton="0" quotePrefix="0" xfId="0">
      <alignment horizontal="right"/>
    </xf>
    <xf numFmtId="21" fontId="12" fillId="4" borderId="2" applyAlignment="1" pivotButton="0" quotePrefix="0" xfId="0">
      <alignment horizontal="left"/>
    </xf>
    <xf numFmtId="21" fontId="12" fillId="4" borderId="2" applyAlignment="1" pivotButton="0" quotePrefix="0" xfId="0">
      <alignment horizontal="center"/>
    </xf>
    <xf numFmtId="21" fontId="12" fillId="4" borderId="3" pivotButton="0" quotePrefix="0" xfId="0"/>
    <xf numFmtId="20" fontId="12" fillId="6" borderId="3" applyAlignment="1" pivotButton="0" quotePrefix="0" xfId="0">
      <alignment horizontal="center"/>
    </xf>
    <xf numFmtId="20" fontId="12" fillId="0" borderId="3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46" fontId="13" fillId="5" borderId="3" pivotButton="0" quotePrefix="0" xfId="0"/>
    <xf numFmtId="0" fontId="13" fillId="5" borderId="3" pivotButton="0" quotePrefix="0" xfId="0"/>
    <xf numFmtId="46" fontId="14" fillId="5" borderId="0" pivotButton="0" quotePrefix="0" xfId="0"/>
    <xf numFmtId="0" fontId="14" fillId="5" borderId="0" pivotButton="0" quotePrefix="0" xfId="0"/>
    <xf numFmtId="49" fontId="11" fillId="0" borderId="0" pivotButton="0" quotePrefix="0" xfId="0"/>
    <xf numFmtId="0" fontId="11" fillId="0" borderId="3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left" vertical="center" wrapText="1"/>
    </xf>
    <xf numFmtId="0" fontId="11" fillId="0" borderId="16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11" fillId="0" borderId="18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center" vertical="center"/>
    </xf>
    <xf numFmtId="2" fontId="11" fillId="0" borderId="3" pivotButton="0" quotePrefix="0" xfId="0"/>
    <xf numFmtId="165" fontId="11" fillId="0" borderId="3" pivotButton="0" quotePrefix="0" xfId="2"/>
    <xf numFmtId="165" fontId="11" fillId="0" borderId="5" applyAlignment="1" pivotButton="0" quotePrefix="0" xfId="0">
      <alignment horizontal="left"/>
    </xf>
    <xf numFmtId="2" fontId="11" fillId="0" borderId="13" pivotButton="0" quotePrefix="0" xfId="2"/>
    <xf numFmtId="2" fontId="11" fillId="0" borderId="14" pivotButton="0" quotePrefix="0" xfId="0"/>
    <xf numFmtId="0" fontId="11" fillId="0" borderId="19" pivotButton="0" quotePrefix="0" xfId="0"/>
    <xf numFmtId="21" fontId="11" fillId="0" borderId="0" pivotButton="0" quotePrefix="0" xfId="0"/>
    <xf numFmtId="0" fontId="11" fillId="0" borderId="3" pivotButton="0" quotePrefix="0" xfId="0"/>
    <xf numFmtId="0" fontId="11" fillId="0" borderId="5" applyAlignment="1" pivotButton="0" quotePrefix="0" xfId="0">
      <alignment horizontal="left"/>
    </xf>
    <xf numFmtId="2" fontId="11" fillId="0" borderId="15" pivotButton="0" quotePrefix="0" xfId="0"/>
    <xf numFmtId="2" fontId="11" fillId="0" borderId="20" pivotButton="0" quotePrefix="0" xfId="0"/>
    <xf numFmtId="49" fontId="11" fillId="0" borderId="0" applyAlignment="1" pivotButton="0" quotePrefix="0" xfId="0">
      <alignment horizontal="left"/>
    </xf>
    <xf numFmtId="22" fontId="10" fillId="0" borderId="0" applyAlignment="1" pivotButton="0" quotePrefix="0" xfId="0">
      <alignment horizontal="left"/>
    </xf>
    <xf numFmtId="166" fontId="11" fillId="0" borderId="3" pivotButton="0" quotePrefix="0" xfId="2"/>
    <xf numFmtId="49" fontId="9" fillId="7" borderId="23" applyAlignment="1" pivotButton="0" quotePrefix="0" xfId="0">
      <alignment horizontal="left" vertical="center"/>
    </xf>
    <xf numFmtId="49" fontId="15" fillId="7" borderId="23" applyAlignment="1" pivotButton="0" quotePrefix="0" xfId="0">
      <alignment horizontal="left" vertical="center"/>
    </xf>
    <xf numFmtId="49" fontId="16" fillId="7" borderId="23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/>
    </xf>
    <xf numFmtId="0" fontId="11" fillId="0" borderId="2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3" applyAlignment="1" pivotButton="0" quotePrefix="0" xfId="1">
      <alignment horizontal="center" vertical="center" wrapText="1"/>
    </xf>
    <xf numFmtId="0" fontId="11" fillId="0" borderId="3" applyAlignment="1" pivotButton="0" quotePrefix="0" xfId="1">
      <alignment horizontal="center" wrapText="1"/>
    </xf>
    <xf numFmtId="0" fontId="11" fillId="0" borderId="5" applyAlignment="1" pivotButton="0" quotePrefix="0" xfId="1">
      <alignment horizontal="center" wrapText="1"/>
    </xf>
    <xf numFmtId="0" fontId="11" fillId="0" borderId="6" applyAlignment="1" pivotButton="0" quotePrefix="0" xfId="0">
      <alignment horizontal="center" wrapText="1"/>
    </xf>
    <xf numFmtId="0" fontId="11" fillId="0" borderId="7" applyAlignment="1" pivotButton="0" quotePrefix="0" xfId="0">
      <alignment horizontal="center" wrapText="1"/>
    </xf>
    <xf numFmtId="0" fontId="11" fillId="0" borderId="8" applyAlignment="1" pivotButton="0" quotePrefix="0" xfId="0">
      <alignment horizontal="center" wrapText="1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6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3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wrapText="1"/>
    </xf>
    <xf numFmtId="0" fontId="4" fillId="2" borderId="5" applyAlignment="1" pivotButton="0" quotePrefix="0" xfId="1">
      <alignment horizontal="center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4" fillId="0" borderId="9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4" pivotButton="0" quotePrefix="0" xfId="0"/>
    <xf numFmtId="0" fontId="11" fillId="0" borderId="27" applyAlignment="1" pivotButton="0" quotePrefix="0" xfId="0">
      <alignment horizont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0" fillId="0" borderId="26" pivotButton="0" quotePrefix="0" xfId="0"/>
    <xf numFmtId="167" fontId="12" fillId="0" borderId="3" pivotButton="0" quotePrefix="0" xfId="1"/>
    <xf numFmtId="168" fontId="12" fillId="5" borderId="3" applyAlignment="1" pivotButton="0" quotePrefix="0" xfId="0">
      <alignment horizontal="center"/>
    </xf>
    <xf numFmtId="168" fontId="12" fillId="6" borderId="3" applyAlignment="1" pivotButton="0" quotePrefix="0" xfId="0">
      <alignment horizontal="center"/>
    </xf>
    <xf numFmtId="168" fontId="12" fillId="0" borderId="3" applyAlignment="1" pivotButton="0" quotePrefix="0" xfId="0">
      <alignment horizontal="center"/>
    </xf>
    <xf numFmtId="167" fontId="12" fillId="4" borderId="3" pivotButton="0" quotePrefix="0" xfId="1"/>
    <xf numFmtId="168" fontId="12" fillId="4" borderId="3" applyAlignment="1" pivotButton="0" quotePrefix="0" xfId="0">
      <alignment horizontal="center"/>
    </xf>
    <xf numFmtId="166" fontId="11" fillId="0" borderId="3" pivotButton="0" quotePrefix="0" xfId="2"/>
    <xf numFmtId="165" fontId="11" fillId="0" borderId="3" pivotButton="0" quotePrefix="0" xfId="2"/>
    <xf numFmtId="165" fontId="11" fillId="0" borderId="5" applyAlignment="1" pivotButton="0" quotePrefix="0" xfId="0">
      <alignment horizontal="left"/>
    </xf>
    <xf numFmtId="0" fontId="0" fillId="0" borderId="21" pivotButton="0" quotePrefix="0" xfId="0"/>
    <xf numFmtId="0" fontId="4" fillId="0" borderId="3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wrapText="1"/>
    </xf>
    <xf numFmtId="165" fontId="5" fillId="0" borderId="3" pivotButton="0" quotePrefix="0" xfId="2"/>
    <xf numFmtId="165" fontId="5" fillId="0" borderId="5" pivotButton="0" quotePrefix="0" xfId="0"/>
  </cellXfs>
  <cellStyles count="3">
    <cellStyle name="Normal" xfId="0" builtinId="0"/>
    <cellStyle name="Normal 2" xfId="1"/>
    <cellStyle name="Millares" xfId="2" builtin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5"/>
  <sheetViews>
    <sheetView topLeftCell="A10" workbookViewId="0">
      <selection activeCell="C24" sqref="C24"/>
    </sheetView>
  </sheetViews>
  <sheetFormatPr baseColWidth="10" defaultRowHeight="11.25"/>
  <cols>
    <col width="9.85546875" customWidth="1" style="62" min="1" max="1"/>
    <col width="11.7109375" customWidth="1" style="62" min="2" max="2"/>
    <col width="17.28515625" customWidth="1" style="62" min="3" max="3"/>
    <col width="17.5703125" customWidth="1" style="65" min="4" max="4"/>
    <col width="11.42578125" customWidth="1" style="62" min="5" max="242"/>
    <col width="20" customWidth="1" style="62" min="243" max="243"/>
    <col width="11.42578125" customWidth="1" style="62" min="244" max="498"/>
    <col width="20" customWidth="1" style="62" min="499" max="499"/>
    <col width="11.42578125" customWidth="1" style="62" min="500" max="754"/>
    <col width="20" customWidth="1" style="62" min="755" max="755"/>
    <col width="11.42578125" customWidth="1" style="62" min="756" max="1010"/>
    <col width="20" customWidth="1" style="62" min="1011" max="1011"/>
    <col width="11.42578125" customWidth="1" style="62" min="1012" max="1266"/>
    <col width="20" customWidth="1" style="62" min="1267" max="1267"/>
    <col width="11.42578125" customWidth="1" style="62" min="1268" max="1522"/>
    <col width="20" customWidth="1" style="62" min="1523" max="1523"/>
    <col width="11.42578125" customWidth="1" style="62" min="1524" max="1778"/>
    <col width="20" customWidth="1" style="62" min="1779" max="1779"/>
    <col width="11.42578125" customWidth="1" style="62" min="1780" max="2034"/>
    <col width="20" customWidth="1" style="62" min="2035" max="2035"/>
    <col width="11.42578125" customWidth="1" style="62" min="2036" max="2290"/>
    <col width="20" customWidth="1" style="62" min="2291" max="2291"/>
    <col width="11.42578125" customWidth="1" style="62" min="2292" max="2546"/>
    <col width="20" customWidth="1" style="62" min="2547" max="2547"/>
    <col width="11.42578125" customWidth="1" style="62" min="2548" max="2802"/>
    <col width="20" customWidth="1" style="62" min="2803" max="2803"/>
    <col width="11.42578125" customWidth="1" style="62" min="2804" max="3058"/>
    <col width="20" customWidth="1" style="62" min="3059" max="3059"/>
    <col width="11.42578125" customWidth="1" style="62" min="3060" max="3314"/>
    <col width="20" customWidth="1" style="62" min="3315" max="3315"/>
    <col width="11.42578125" customWidth="1" style="62" min="3316" max="3570"/>
    <col width="20" customWidth="1" style="62" min="3571" max="3571"/>
    <col width="11.42578125" customWidth="1" style="62" min="3572" max="3826"/>
    <col width="20" customWidth="1" style="62" min="3827" max="3827"/>
    <col width="11.42578125" customWidth="1" style="62" min="3828" max="4082"/>
    <col width="20" customWidth="1" style="62" min="4083" max="4083"/>
    <col width="11.42578125" customWidth="1" style="62" min="4084" max="4338"/>
    <col width="20" customWidth="1" style="62" min="4339" max="4339"/>
    <col width="11.42578125" customWidth="1" style="62" min="4340" max="4594"/>
    <col width="20" customWidth="1" style="62" min="4595" max="4595"/>
    <col width="11.42578125" customWidth="1" style="62" min="4596" max="4850"/>
    <col width="20" customWidth="1" style="62" min="4851" max="4851"/>
    <col width="11.42578125" customWidth="1" style="62" min="4852" max="5106"/>
    <col width="20" customWidth="1" style="62" min="5107" max="5107"/>
    <col width="11.42578125" customWidth="1" style="62" min="5108" max="5362"/>
    <col width="20" customWidth="1" style="62" min="5363" max="5363"/>
    <col width="11.42578125" customWidth="1" style="62" min="5364" max="5618"/>
    <col width="20" customWidth="1" style="62" min="5619" max="5619"/>
    <col width="11.42578125" customWidth="1" style="62" min="5620" max="5874"/>
    <col width="20" customWidth="1" style="62" min="5875" max="5875"/>
    <col width="11.42578125" customWidth="1" style="62" min="5876" max="6130"/>
    <col width="20" customWidth="1" style="62" min="6131" max="6131"/>
    <col width="11.42578125" customWidth="1" style="62" min="6132" max="6386"/>
    <col width="20" customWidth="1" style="62" min="6387" max="6387"/>
    <col width="11.42578125" customWidth="1" style="62" min="6388" max="6642"/>
    <col width="20" customWidth="1" style="62" min="6643" max="6643"/>
    <col width="11.42578125" customWidth="1" style="62" min="6644" max="6898"/>
    <col width="20" customWidth="1" style="62" min="6899" max="6899"/>
    <col width="11.42578125" customWidth="1" style="62" min="6900" max="7154"/>
    <col width="20" customWidth="1" style="62" min="7155" max="7155"/>
    <col width="11.42578125" customWidth="1" style="62" min="7156" max="7410"/>
    <col width="20" customWidth="1" style="62" min="7411" max="7411"/>
    <col width="11.42578125" customWidth="1" style="62" min="7412" max="7666"/>
    <col width="20" customWidth="1" style="62" min="7667" max="7667"/>
    <col width="11.42578125" customWidth="1" style="62" min="7668" max="7922"/>
    <col width="20" customWidth="1" style="62" min="7923" max="7923"/>
    <col width="11.42578125" customWidth="1" style="62" min="7924" max="8178"/>
    <col width="20" customWidth="1" style="62" min="8179" max="8179"/>
    <col width="11.42578125" customWidth="1" style="62" min="8180" max="8434"/>
    <col width="20" customWidth="1" style="62" min="8435" max="8435"/>
    <col width="11.42578125" customWidth="1" style="62" min="8436" max="8690"/>
    <col width="20" customWidth="1" style="62" min="8691" max="8691"/>
    <col width="11.42578125" customWidth="1" style="62" min="8692" max="8946"/>
    <col width="20" customWidth="1" style="62" min="8947" max="8947"/>
    <col width="11.42578125" customWidth="1" style="62" min="8948" max="9202"/>
    <col width="20" customWidth="1" style="62" min="9203" max="9203"/>
    <col width="11.42578125" customWidth="1" style="62" min="9204" max="9458"/>
    <col width="20" customWidth="1" style="62" min="9459" max="9459"/>
    <col width="11.42578125" customWidth="1" style="62" min="9460" max="9714"/>
    <col width="20" customWidth="1" style="62" min="9715" max="9715"/>
    <col width="11.42578125" customWidth="1" style="62" min="9716" max="9970"/>
    <col width="20" customWidth="1" style="62" min="9971" max="9971"/>
    <col width="11.42578125" customWidth="1" style="62" min="9972" max="10226"/>
    <col width="20" customWidth="1" style="62" min="10227" max="10227"/>
    <col width="11.42578125" customWidth="1" style="62" min="10228" max="10482"/>
    <col width="20" customWidth="1" style="62" min="10483" max="10483"/>
    <col width="11.42578125" customWidth="1" style="62" min="10484" max="10738"/>
    <col width="20" customWidth="1" style="62" min="10739" max="10739"/>
    <col width="11.42578125" customWidth="1" style="62" min="10740" max="10994"/>
    <col width="20" customWidth="1" style="62" min="10995" max="10995"/>
    <col width="11.42578125" customWidth="1" style="62" min="10996" max="11250"/>
    <col width="20" customWidth="1" style="62" min="11251" max="11251"/>
    <col width="11.42578125" customWidth="1" style="62" min="11252" max="11506"/>
    <col width="20" customWidth="1" style="62" min="11507" max="11507"/>
    <col width="11.42578125" customWidth="1" style="62" min="11508" max="11762"/>
    <col width="20" customWidth="1" style="62" min="11763" max="11763"/>
    <col width="11.42578125" customWidth="1" style="62" min="11764" max="12018"/>
    <col width="20" customWidth="1" style="62" min="12019" max="12019"/>
    <col width="11.42578125" customWidth="1" style="62" min="12020" max="12274"/>
    <col width="20" customWidth="1" style="62" min="12275" max="12275"/>
    <col width="11.42578125" customWidth="1" style="62" min="12276" max="12530"/>
    <col width="20" customWidth="1" style="62" min="12531" max="12531"/>
    <col width="11.42578125" customWidth="1" style="62" min="12532" max="12786"/>
    <col width="20" customWidth="1" style="62" min="12787" max="12787"/>
    <col width="11.42578125" customWidth="1" style="62" min="12788" max="13042"/>
    <col width="20" customWidth="1" style="62" min="13043" max="13043"/>
    <col width="11.42578125" customWidth="1" style="62" min="13044" max="13298"/>
    <col width="20" customWidth="1" style="62" min="13299" max="13299"/>
    <col width="11.42578125" customWidth="1" style="62" min="13300" max="13554"/>
    <col width="20" customWidth="1" style="62" min="13555" max="13555"/>
    <col width="11.42578125" customWidth="1" style="62" min="13556" max="13810"/>
    <col width="20" customWidth="1" style="62" min="13811" max="13811"/>
    <col width="11.42578125" customWidth="1" style="62" min="13812" max="14066"/>
    <col width="20" customWidth="1" style="62" min="14067" max="14067"/>
    <col width="11.42578125" customWidth="1" style="62" min="14068" max="14322"/>
    <col width="20" customWidth="1" style="62" min="14323" max="14323"/>
    <col width="11.42578125" customWidth="1" style="62" min="14324" max="14578"/>
    <col width="20" customWidth="1" style="62" min="14579" max="14579"/>
    <col width="11.42578125" customWidth="1" style="62" min="14580" max="14834"/>
    <col width="20" customWidth="1" style="62" min="14835" max="14835"/>
    <col width="11.42578125" customWidth="1" style="62" min="14836" max="15090"/>
    <col width="20" customWidth="1" style="62" min="15091" max="15091"/>
    <col width="11.42578125" customWidth="1" style="62" min="15092" max="15346"/>
    <col width="20" customWidth="1" style="62" min="15347" max="15347"/>
    <col width="11.42578125" customWidth="1" style="62" min="15348" max="15602"/>
    <col width="20" customWidth="1" style="62" min="15603" max="15603"/>
    <col width="11.42578125" customWidth="1" style="62" min="15604" max="15858"/>
    <col width="20" customWidth="1" style="62" min="15859" max="15859"/>
    <col width="11.42578125" customWidth="1" style="62" min="15860" max="16114"/>
    <col width="20" customWidth="1" style="62" min="16115" max="16115"/>
    <col width="11.42578125" customWidth="1" style="62" min="16116" max="16384"/>
  </cols>
  <sheetData>
    <row r="1">
      <c r="A1" s="62" t="inlineStr">
        <is>
          <t>AC-No.</t>
        </is>
      </c>
      <c r="B1" s="62" t="inlineStr">
        <is>
          <t>IMSS/CURP</t>
        </is>
      </c>
      <c r="C1" s="62" t="inlineStr">
        <is>
          <t>Nombre</t>
        </is>
      </c>
      <c r="D1" s="62" t="inlineStr">
        <is>
          <t>Fecha y hora</t>
        </is>
      </c>
    </row>
    <row r="2" ht="19.5" customHeight="1">
      <c r="A2" s="139" t="inlineStr">
        <is>
          <t>5</t>
        </is>
      </c>
      <c r="B2" s="139" t="inlineStr">
        <is>
          <t>BOLIVAR 5</t>
        </is>
      </c>
      <c r="C2" s="139" t="inlineStr">
        <is>
          <t>01/06/2026 06:22:08</t>
        </is>
      </c>
      <c r="D2" s="63" t="n"/>
    </row>
    <row r="3" ht="19.5" customHeight="1">
      <c r="A3" s="139" t="inlineStr">
        <is>
          <t>5</t>
        </is>
      </c>
      <c r="B3" s="139" t="inlineStr">
        <is>
          <t>BOLIVAR 5</t>
        </is>
      </c>
      <c r="C3" s="139" t="inlineStr">
        <is>
          <t>01/06/2026 06:22:10</t>
        </is>
      </c>
      <c r="D3" s="63" t="n"/>
    </row>
    <row r="4" ht="19.5" customHeight="1">
      <c r="A4" s="139" t="inlineStr">
        <is>
          <t>5</t>
        </is>
      </c>
      <c r="B4" s="139" t="inlineStr">
        <is>
          <t>BOLIVAR 5</t>
        </is>
      </c>
      <c r="C4" s="139" t="inlineStr">
        <is>
          <t>01/06/2026 20:37:18</t>
        </is>
      </c>
      <c r="D4" s="63" t="n"/>
    </row>
    <row r="5" ht="19.5" customHeight="1">
      <c r="A5" s="139" t="inlineStr">
        <is>
          <t>5</t>
        </is>
      </c>
      <c r="B5" s="139" t="inlineStr">
        <is>
          <t>BOLIVAR 5</t>
        </is>
      </c>
      <c r="C5" s="139" t="inlineStr">
        <is>
          <t>02/06/2026 06:25:03</t>
        </is>
      </c>
      <c r="D5" s="63" t="n"/>
    </row>
    <row r="6" ht="19.5" customHeight="1">
      <c r="A6" s="139" t="inlineStr">
        <is>
          <t>5</t>
        </is>
      </c>
      <c r="B6" s="139" t="inlineStr">
        <is>
          <t>BOLIVAR 5</t>
        </is>
      </c>
      <c r="C6" s="139" t="inlineStr">
        <is>
          <t>02/06/2026 06:25:05</t>
        </is>
      </c>
      <c r="D6" s="63" t="n"/>
    </row>
    <row r="7" ht="19.5" customHeight="1">
      <c r="A7" s="139" t="inlineStr">
        <is>
          <t>5</t>
        </is>
      </c>
      <c r="B7" s="139" t="inlineStr">
        <is>
          <t>BOLIVAR 5</t>
        </is>
      </c>
      <c r="C7" s="139" t="inlineStr">
        <is>
          <t>02/06/2026 14:24:28</t>
        </is>
      </c>
      <c r="D7" s="63" t="n"/>
    </row>
    <row r="8" ht="19.5" customHeight="1">
      <c r="A8" s="139" t="inlineStr">
        <is>
          <t>5</t>
        </is>
      </c>
      <c r="B8" s="139" t="inlineStr">
        <is>
          <t>BOLIVAR 5</t>
        </is>
      </c>
      <c r="C8" s="139" t="inlineStr">
        <is>
          <t>03/06/2026 06:20:28</t>
        </is>
      </c>
      <c r="D8" s="63" t="n"/>
    </row>
    <row r="9" ht="19.5" customHeight="1">
      <c r="A9" s="139" t="inlineStr">
        <is>
          <t>5</t>
        </is>
      </c>
      <c r="B9" s="139" t="inlineStr">
        <is>
          <t>BOLIVAR 5</t>
        </is>
      </c>
      <c r="C9" s="139" t="inlineStr">
        <is>
          <t>03/06/2026 20:35:30</t>
        </is>
      </c>
      <c r="D9" s="63" t="n"/>
    </row>
    <row r="10" ht="19.5" customHeight="1">
      <c r="A10" s="139" t="inlineStr">
        <is>
          <t>5</t>
        </is>
      </c>
      <c r="B10" s="139" t="inlineStr">
        <is>
          <t>BOLIVAR 5</t>
        </is>
      </c>
      <c r="C10" s="139" t="inlineStr">
        <is>
          <t>04/06/2026 06:24:35</t>
        </is>
      </c>
      <c r="D10" s="63" t="n"/>
    </row>
    <row r="11" ht="19.5" customHeight="1">
      <c r="A11" s="139" t="inlineStr">
        <is>
          <t>5</t>
        </is>
      </c>
      <c r="B11" s="139" t="inlineStr">
        <is>
          <t>BOLIVAR 5</t>
        </is>
      </c>
      <c r="C11" s="139" t="inlineStr">
        <is>
          <t>04/06/2026 06:24:37</t>
        </is>
      </c>
      <c r="D11" s="63" t="n"/>
    </row>
    <row r="12" ht="19.5" customHeight="1">
      <c r="A12" s="139" t="inlineStr">
        <is>
          <t>5</t>
        </is>
      </c>
      <c r="B12" s="139" t="inlineStr">
        <is>
          <t>BOLIVAR 5</t>
        </is>
      </c>
      <c r="C12" s="139" t="inlineStr">
        <is>
          <t>04/06/2026 14:34:41</t>
        </is>
      </c>
      <c r="D12" s="63" t="n"/>
    </row>
    <row r="13" ht="19.5" customHeight="1">
      <c r="A13" s="139" t="inlineStr">
        <is>
          <t>5</t>
        </is>
      </c>
      <c r="B13" s="139" t="inlineStr">
        <is>
          <t>BOLIVAR 5</t>
        </is>
      </c>
      <c r="C13" s="139" t="inlineStr">
        <is>
          <t>05/06/2026 06:25:39</t>
        </is>
      </c>
      <c r="D13" s="63" t="n"/>
    </row>
    <row r="14" ht="19.5" customHeight="1">
      <c r="A14" s="139" t="inlineStr">
        <is>
          <t>5</t>
        </is>
      </c>
      <c r="B14" s="139" t="inlineStr">
        <is>
          <t>BOLIVAR 5</t>
        </is>
      </c>
      <c r="C14" s="139" t="inlineStr">
        <is>
          <t>05/06/2026 20:36:09</t>
        </is>
      </c>
      <c r="D14" s="63" t="n"/>
    </row>
    <row r="15" ht="19.5" customHeight="1">
      <c r="A15" s="139" t="inlineStr">
        <is>
          <t>5</t>
        </is>
      </c>
      <c r="B15" s="139" t="inlineStr">
        <is>
          <t>BOLIVAR 5</t>
        </is>
      </c>
      <c r="C15" s="139" t="inlineStr">
        <is>
          <t>06/06/2026 06:27:50</t>
        </is>
      </c>
      <c r="D15" s="63" t="n"/>
    </row>
    <row r="16" ht="19.5" customHeight="1">
      <c r="A16" s="139" t="inlineStr">
        <is>
          <t>5</t>
        </is>
      </c>
      <c r="B16" s="139" t="inlineStr">
        <is>
          <t>BOLIVAR 5</t>
        </is>
      </c>
      <c r="C16" s="139" t="inlineStr">
        <is>
          <t>08/06/2026 06:25:56</t>
        </is>
      </c>
      <c r="D16" s="63" t="n"/>
    </row>
    <row r="17" ht="19.5" customHeight="1">
      <c r="A17" s="139" t="inlineStr">
        <is>
          <t>5</t>
        </is>
      </c>
      <c r="B17" s="139" t="inlineStr">
        <is>
          <t>BOLIVAR 5</t>
        </is>
      </c>
      <c r="C17" s="139" t="inlineStr">
        <is>
          <t>08/06/2026 14:32:42</t>
        </is>
      </c>
      <c r="D17" s="63" t="n"/>
    </row>
    <row r="18" ht="19.5" customHeight="1">
      <c r="A18" s="139" t="inlineStr">
        <is>
          <t>5</t>
        </is>
      </c>
      <c r="B18" s="139" t="inlineStr">
        <is>
          <t>BOLIVAR 5</t>
        </is>
      </c>
      <c r="C18" s="139" t="inlineStr">
        <is>
          <t>09/06/2026 06:25:54</t>
        </is>
      </c>
      <c r="D18" s="63" t="n"/>
    </row>
    <row r="19" ht="19.5" customHeight="1">
      <c r="A19" s="139" t="inlineStr">
        <is>
          <t>5</t>
        </is>
      </c>
      <c r="B19" s="139" t="inlineStr">
        <is>
          <t>BOLIVAR 5</t>
        </is>
      </c>
      <c r="C19" s="139" t="inlineStr">
        <is>
          <t>09/06/2026 20:36:12</t>
        </is>
      </c>
      <c r="D19" s="63" t="n"/>
    </row>
    <row r="20" ht="19.5" customHeight="1">
      <c r="A20" s="139" t="inlineStr">
        <is>
          <t>5</t>
        </is>
      </c>
      <c r="B20" s="139" t="inlineStr">
        <is>
          <t>BOLIVAR 5</t>
        </is>
      </c>
      <c r="C20" s="139" t="inlineStr">
        <is>
          <t>10/06/2026 06:23:07</t>
        </is>
      </c>
      <c r="D20" s="63" t="n"/>
    </row>
    <row r="21" ht="19.5" customHeight="1">
      <c r="A21" s="139" t="inlineStr">
        <is>
          <t>5</t>
        </is>
      </c>
      <c r="B21" s="139" t="inlineStr">
        <is>
          <t>BOLIVAR 5</t>
        </is>
      </c>
      <c r="C21" s="139" t="inlineStr">
        <is>
          <t>10/06/2026 06:23:09</t>
        </is>
      </c>
      <c r="D21" s="63" t="n"/>
    </row>
    <row r="22" ht="19.5" customHeight="1">
      <c r="A22" s="139" t="inlineStr">
        <is>
          <t>5</t>
        </is>
      </c>
      <c r="B22" s="139" t="inlineStr">
        <is>
          <t>BOLIVAR 5</t>
        </is>
      </c>
      <c r="C22" s="139" t="inlineStr">
        <is>
          <t>10/06/2026 14:15:29</t>
        </is>
      </c>
      <c r="D22" s="63" t="n"/>
    </row>
    <row r="23" ht="19.5" customHeight="1">
      <c r="A23" s="139" t="inlineStr">
        <is>
          <t>5</t>
        </is>
      </c>
      <c r="B23" s="139" t="inlineStr">
        <is>
          <t>BOLIVAR 5</t>
        </is>
      </c>
      <c r="C23" s="139" t="inlineStr">
        <is>
          <t>11/06/2026 06:24:47</t>
        </is>
      </c>
      <c r="D23" s="63" t="n"/>
    </row>
    <row r="24" ht="19.5" customHeight="1">
      <c r="A24" s="139" t="inlineStr">
        <is>
          <t>5</t>
        </is>
      </c>
      <c r="B24" s="139" t="inlineStr">
        <is>
          <t>BOLIVAR 5</t>
        </is>
      </c>
      <c r="C24" s="139" t="inlineStr">
        <is>
          <t>11/06/2026 20:35:24</t>
        </is>
      </c>
      <c r="D24" s="63" t="n"/>
    </row>
    <row r="25" ht="19.5" customHeight="1">
      <c r="A25" s="139" t="inlineStr">
        <is>
          <t>5</t>
        </is>
      </c>
      <c r="B25" s="139" t="inlineStr">
        <is>
          <t>BOLIVAR 5</t>
        </is>
      </c>
      <c r="C25" s="139" t="inlineStr">
        <is>
          <t>12/06/2026 06:23:33</t>
        </is>
      </c>
      <c r="D25" s="63" t="n"/>
    </row>
    <row r="26" ht="19.5" customHeight="1">
      <c r="A26" s="139" t="inlineStr">
        <is>
          <t>5</t>
        </is>
      </c>
      <c r="B26" s="139" t="inlineStr">
        <is>
          <t>BOLIVAR 5</t>
        </is>
      </c>
      <c r="C26" s="139" t="inlineStr">
        <is>
          <t>12/06/2026 06:23:35</t>
        </is>
      </c>
      <c r="D26" s="63" t="n"/>
    </row>
    <row r="27" ht="19.5" customHeight="1">
      <c r="A27" s="138" t="n"/>
      <c r="B27" s="138" t="n"/>
      <c r="C27" s="138" t="n"/>
      <c r="D27" s="63" t="n"/>
    </row>
    <row r="28" ht="19.5" customHeight="1">
      <c r="A28" s="138" t="n"/>
      <c r="B28" s="138" t="n"/>
      <c r="C28" s="138" t="n"/>
      <c r="D28" s="63" t="n"/>
    </row>
    <row r="29" ht="19.5" customHeight="1">
      <c r="A29" s="138" t="n"/>
      <c r="B29" s="138" t="n"/>
      <c r="C29" s="138" t="n"/>
      <c r="D29" s="63" t="n"/>
    </row>
    <row r="30" ht="19.5" customHeight="1">
      <c r="A30" s="138" t="n"/>
      <c r="B30" s="138" t="n"/>
      <c r="C30" s="138" t="n"/>
      <c r="D30" s="63" t="n"/>
    </row>
    <row r="31" ht="19.5" customHeight="1">
      <c r="A31" s="138" t="n"/>
      <c r="B31" s="138" t="n"/>
      <c r="C31" s="138" t="n"/>
      <c r="D31" s="63" t="n"/>
    </row>
    <row r="32" ht="19.5" customHeight="1">
      <c r="A32" s="138" t="n"/>
      <c r="B32" s="138" t="n"/>
      <c r="C32" s="138" t="n"/>
      <c r="D32" s="63" t="n"/>
    </row>
    <row r="33" ht="19.5" customHeight="1">
      <c r="A33" s="138" t="n"/>
      <c r="B33" s="138" t="n"/>
      <c r="C33" s="138" t="n"/>
      <c r="D33" s="63" t="n"/>
    </row>
    <row r="34" ht="19.5" customHeight="1">
      <c r="A34" s="138" t="n"/>
      <c r="B34" s="138" t="n"/>
      <c r="C34" s="138" t="n"/>
      <c r="D34" s="63" t="n"/>
    </row>
    <row r="35" ht="19.5" customHeight="1">
      <c r="A35" s="138" t="n"/>
      <c r="B35" s="138" t="n"/>
      <c r="C35" s="138" t="n"/>
      <c r="D35" s="63" t="n"/>
    </row>
    <row r="36" ht="19.5" customHeight="1">
      <c r="A36" s="139" t="n"/>
      <c r="B36" s="139" t="n"/>
      <c r="C36" s="139" t="n"/>
      <c r="D36" s="63" t="n"/>
    </row>
    <row r="37" ht="19.5" customHeight="1">
      <c r="A37" s="139" t="n"/>
      <c r="B37" s="139" t="n"/>
      <c r="C37" s="139" t="n"/>
      <c r="D37" s="63" t="n"/>
    </row>
    <row r="38" ht="19.5" customHeight="1">
      <c r="A38" s="139" t="n"/>
      <c r="B38" s="139" t="n"/>
      <c r="C38" s="139" t="n"/>
      <c r="D38" s="63" t="n"/>
    </row>
    <row r="39" ht="19.5" customHeight="1">
      <c r="A39" s="139" t="n"/>
      <c r="B39" s="139" t="n"/>
      <c r="C39" s="139" t="n"/>
      <c r="D39" s="63" t="n"/>
    </row>
    <row r="40" ht="19.5" customHeight="1">
      <c r="A40" s="139" t="n"/>
      <c r="B40" s="139" t="n"/>
      <c r="C40" s="139" t="n"/>
      <c r="D40" s="63" t="n"/>
    </row>
    <row r="41" ht="19.5" customHeight="1">
      <c r="A41" s="139" t="n"/>
      <c r="B41" s="139" t="n"/>
      <c r="C41" s="139" t="n"/>
      <c r="D41" s="63" t="n"/>
    </row>
    <row r="42" ht="19.5" customHeight="1">
      <c r="A42" s="139" t="n"/>
      <c r="B42" s="139" t="n"/>
      <c r="C42" s="139" t="n"/>
      <c r="D42" s="63" t="n"/>
    </row>
    <row r="43" ht="19.5" customHeight="1">
      <c r="A43" s="139" t="n"/>
      <c r="B43" s="139" t="n"/>
      <c r="C43" s="139" t="n"/>
      <c r="D43" s="63" t="n"/>
    </row>
    <row r="44" ht="19.5" customHeight="1">
      <c r="A44" s="139" t="n"/>
      <c r="B44" s="139" t="n"/>
      <c r="C44" s="139" t="n"/>
      <c r="D44" s="63" t="n"/>
    </row>
    <row r="45" ht="19.5" customHeight="1">
      <c r="A45" s="139" t="n"/>
      <c r="B45" s="139" t="n"/>
      <c r="C45" s="139" t="n"/>
      <c r="D45" s="63" t="n"/>
    </row>
    <row r="46" ht="19.5" customHeight="1">
      <c r="A46" s="139" t="n"/>
      <c r="B46" s="139" t="n"/>
      <c r="C46" s="139" t="n"/>
      <c r="D46" s="63" t="n"/>
    </row>
    <row r="47" ht="19.5" customHeight="1">
      <c r="A47" s="139" t="n"/>
      <c r="B47" s="139" t="n"/>
      <c r="C47" s="139" t="n"/>
      <c r="D47" s="63" t="n"/>
    </row>
    <row r="48" ht="19.5" customHeight="1">
      <c r="A48" s="139" t="n"/>
      <c r="B48" s="139" t="n"/>
      <c r="C48" s="139" t="n"/>
      <c r="D48" s="63" t="n"/>
    </row>
    <row r="49" ht="19.5" customHeight="1">
      <c r="A49" s="139" t="n"/>
      <c r="B49" s="139" t="n"/>
      <c r="C49" s="139" t="n"/>
      <c r="D49" s="63" t="n"/>
    </row>
    <row r="50" ht="19.5" customHeight="1">
      <c r="A50" s="139" t="n"/>
      <c r="B50" s="139" t="n"/>
      <c r="C50" s="139" t="n"/>
      <c r="D50" s="63" t="n"/>
    </row>
    <row r="51" ht="22.5" customHeight="1">
      <c r="A51" s="139" t="n"/>
      <c r="B51" s="139" t="n"/>
      <c r="C51" s="139" t="n"/>
      <c r="D51" s="63" t="n"/>
    </row>
    <row r="52" ht="22.5" customHeight="1">
      <c r="A52" s="139" t="n"/>
      <c r="B52" s="139" t="n"/>
      <c r="C52" s="139" t="n"/>
      <c r="D52" s="63" t="n"/>
    </row>
    <row r="53" ht="22.5" customHeight="1">
      <c r="A53" s="139" t="n"/>
      <c r="B53" s="139" t="n"/>
      <c r="C53" s="139" t="n"/>
      <c r="D53" s="63" t="n"/>
    </row>
    <row r="54" ht="22.5" customHeight="1">
      <c r="A54" s="139" t="n"/>
      <c r="B54" s="139" t="n"/>
      <c r="C54" s="139" t="n"/>
      <c r="D54" s="63" t="n"/>
    </row>
    <row r="55" ht="22.5" customHeight="1">
      <c r="A55" s="139" t="n"/>
      <c r="B55" s="139" t="n"/>
      <c r="C55" s="139" t="n"/>
      <c r="D55" s="135" t="n"/>
    </row>
    <row r="56" ht="22.5" customHeight="1">
      <c r="A56" s="139" t="n"/>
      <c r="B56" s="139" t="n"/>
      <c r="C56" s="139" t="n"/>
      <c r="D56" s="135" t="n"/>
    </row>
    <row r="57" ht="22.5" customHeight="1">
      <c r="A57" s="137" t="n"/>
      <c r="B57" s="137" t="n"/>
      <c r="C57" s="137" t="n"/>
      <c r="D57" s="63" t="n"/>
    </row>
    <row r="58" ht="22.5" customHeight="1">
      <c r="A58" s="137" t="n"/>
      <c r="B58" s="137" t="n"/>
      <c r="C58" s="137" t="n"/>
      <c r="D58" s="63" t="n"/>
    </row>
    <row r="59" ht="22.5" customHeight="1">
      <c r="A59" s="137" t="n"/>
      <c r="B59" s="137" t="n"/>
      <c r="C59" s="137" t="n"/>
      <c r="D59" s="63" t="n"/>
    </row>
    <row r="60" ht="22.5" customHeight="1">
      <c r="A60" s="137" t="n"/>
      <c r="B60" s="137" t="n"/>
      <c r="C60" s="137" t="n"/>
      <c r="D60" s="63" t="n"/>
    </row>
    <row r="61" ht="22.5" customHeight="1">
      <c r="A61" s="137" t="n"/>
      <c r="B61" s="137" t="n"/>
      <c r="C61" s="137" t="n"/>
      <c r="D61" s="63" t="n"/>
    </row>
    <row r="62" ht="22.5" customHeight="1">
      <c r="A62" s="64" t="n"/>
      <c r="B62" s="64" t="n"/>
      <c r="C62" s="64" t="n"/>
      <c r="D62" s="63" t="n"/>
    </row>
    <row r="63" ht="15" customHeight="1">
      <c r="A63" s="64" t="n"/>
      <c r="B63" s="64" t="n"/>
      <c r="C63" s="64" t="n"/>
      <c r="D63" s="63" t="n"/>
    </row>
    <row r="64" ht="15" customHeight="1">
      <c r="A64" s="64" t="n"/>
      <c r="B64" s="64" t="n"/>
      <c r="C64" s="64" t="n"/>
      <c r="D64" s="63" t="n"/>
    </row>
    <row r="65" ht="15" customHeight="1">
      <c r="A65" s="64" t="n"/>
      <c r="B65" s="64" t="n"/>
      <c r="C65" s="64" t="n"/>
      <c r="D65" s="63" t="n"/>
    </row>
    <row r="66">
      <c r="A66" s="63" t="n"/>
      <c r="B66" s="63" t="n"/>
      <c r="C66" s="63" t="n"/>
      <c r="D66" s="63" t="n"/>
    </row>
    <row r="67">
      <c r="D67" s="62" t="n"/>
    </row>
    <row r="68">
      <c r="D68" s="62" t="n"/>
    </row>
    <row r="69">
      <c r="D69" s="62" t="n"/>
    </row>
    <row r="70">
      <c r="D70" s="62" t="n"/>
    </row>
    <row r="71">
      <c r="D71" s="62" t="n"/>
    </row>
    <row r="72">
      <c r="D72" s="62" t="n"/>
    </row>
    <row r="73">
      <c r="D73" s="62" t="n"/>
    </row>
    <row r="74">
      <c r="D74" s="62" t="n"/>
    </row>
    <row r="75">
      <c r="D75" s="62" t="n"/>
    </row>
  </sheetData>
  <pageMargins left="0.7480314960629921" right="0.7480314960629921" top="0.984251968503937" bottom="0.984251968503937" header="0.5118110236220472" footer="0.5118110236220472"/>
  <pageSetup orientation="portrait" scale="50" horizontalDpi="4294967293" verticalDpi="7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45"/>
  <sheetViews>
    <sheetView tabSelected="1" topLeftCell="A6" workbookViewId="0">
      <selection activeCell="E18" sqref="E18"/>
    </sheetView>
  </sheetViews>
  <sheetFormatPr baseColWidth="10" defaultColWidth="8" defaultRowHeight="12"/>
  <cols>
    <col width="5.42578125" customWidth="1" style="66" min="1" max="1"/>
    <col width="14.5703125" customWidth="1" style="66" min="2" max="2"/>
    <col width="11" customWidth="1" style="66" min="3" max="3"/>
    <col width="10.5703125" customWidth="1" style="66" min="4" max="4"/>
    <col width="9.42578125" customWidth="1" style="67" min="5" max="5"/>
    <col width="8.5703125" customWidth="1" style="67" min="6" max="6"/>
    <col width="11.28515625" customWidth="1" style="66" min="7" max="7"/>
    <col width="10.5703125" customWidth="1" style="66" min="8" max="8"/>
    <col width="10.140625" customWidth="1" style="66" min="9" max="9"/>
    <col width="11.140625" customWidth="1" style="66" min="10" max="10"/>
    <col width="10.5703125" customWidth="1" style="66" min="11" max="11"/>
    <col width="8.85546875" customWidth="1" style="66" min="12" max="12"/>
    <col width="10.5703125" customWidth="1" style="68" min="13" max="13"/>
    <col width="10.140625" customWidth="1" style="66" min="14" max="15"/>
    <col width="11.42578125" customWidth="1" style="66" min="16" max="16"/>
    <col width="12.5703125" customWidth="1" style="69" min="17" max="17"/>
    <col width="8.5703125" customWidth="1" style="66" min="18" max="18"/>
    <col width="10" customWidth="1" style="66" min="19" max="19"/>
    <col width="11.28515625" customWidth="1" style="66" min="20" max="20"/>
    <col width="10" customWidth="1" style="66" min="21" max="21"/>
    <col width="11.42578125" customWidth="1" style="66" min="22" max="254"/>
    <col width="8" customWidth="1" style="66" min="255" max="16384"/>
  </cols>
  <sheetData>
    <row r="1">
      <c r="A1" s="66" t="inlineStr">
        <is>
          <t>ZAIDA DIDONATO</t>
        </is>
      </c>
    </row>
    <row r="2">
      <c r="A2" s="66" t="inlineStr">
        <is>
          <t>REPORTES DE HORAS RELOJ JUNIO 2026</t>
        </is>
      </c>
      <c r="R2" s="117" t="inlineStr">
        <is>
          <t>HORARIO</t>
        </is>
      </c>
      <c r="S2" s="70" t="n"/>
      <c r="T2" s="151" t="inlineStr">
        <is>
          <t>ENTRADA</t>
        </is>
      </c>
      <c r="U2" s="140" t="inlineStr">
        <is>
          <t>SALIDA</t>
        </is>
      </c>
    </row>
    <row r="3">
      <c r="A3" s="66" t="inlineStr">
        <is>
          <t>BOLIVAR  ARIAS</t>
        </is>
      </c>
      <c r="R3" s="165" t="n"/>
      <c r="S3" s="143" t="n"/>
      <c r="T3" s="74" t="n">
        <v>0.5</v>
      </c>
      <c r="U3" s="75" t="n">
        <v>0.8333333333333334</v>
      </c>
    </row>
    <row r="5" ht="15.75" customHeight="1" thickBot="1"/>
    <row r="6" ht="12.75" customHeight="1" thickBot="1">
      <c r="A6" s="144" t="inlineStr">
        <is>
          <t>Emp No.</t>
        </is>
      </c>
      <c r="B6" s="144" t="inlineStr">
        <is>
          <t>Fecha</t>
        </is>
      </c>
      <c r="C6" s="144" t="inlineStr">
        <is>
          <t>Entrada</t>
        </is>
      </c>
      <c r="D6" s="144" t="inlineStr">
        <is>
          <t>Salida</t>
        </is>
      </c>
      <c r="E6" s="145" t="inlineStr">
        <is>
          <t>Marco Entrada</t>
        </is>
      </c>
      <c r="F6" s="146" t="inlineStr">
        <is>
          <t>Marco        Salida</t>
        </is>
      </c>
      <c r="G6" s="166" t="inlineStr">
        <is>
          <t>CONTROL ASISTENCIA</t>
        </is>
      </c>
      <c r="H6" s="167" t="n"/>
      <c r="I6" s="167" t="n"/>
      <c r="J6" s="167" t="n"/>
      <c r="K6" s="167" t="n"/>
      <c r="L6" s="168" t="n"/>
      <c r="M6" s="151" t="inlineStr">
        <is>
          <t>Horas nocturnas, suplementarias y extraordinarias</t>
        </is>
      </c>
      <c r="N6" s="169" t="n"/>
      <c r="O6" s="169" t="n"/>
      <c r="P6" s="169" t="n"/>
      <c r="Q6" s="169" t="n"/>
      <c r="R6" s="169" t="n"/>
      <c r="S6" s="169" t="n"/>
      <c r="T6" s="169" t="n"/>
      <c r="U6" s="170" t="n"/>
    </row>
    <row r="7" ht="36" customHeight="1">
      <c r="A7" s="165" t="n"/>
      <c r="B7" s="165" t="n"/>
      <c r="C7" s="165" t="n"/>
      <c r="D7" s="165" t="n"/>
      <c r="E7" s="165" t="n"/>
      <c r="F7" s="171" t="n"/>
      <c r="G7" s="76" t="inlineStr">
        <is>
          <t>Entrada</t>
        </is>
      </c>
      <c r="H7" s="77" t="inlineStr">
        <is>
          <t>Salida</t>
        </is>
      </c>
      <c r="I7" s="77" t="inlineStr">
        <is>
          <t>TOTAL</t>
        </is>
      </c>
      <c r="J7" s="77" t="inlineStr">
        <is>
          <t>Atraso</t>
        </is>
      </c>
      <c r="K7" s="78" t="inlineStr">
        <is>
          <t>Salida                     Temprano</t>
        </is>
      </c>
      <c r="L7" s="79" t="inlineStr">
        <is>
          <t>TOTAL</t>
        </is>
      </c>
      <c r="M7" s="80" t="inlineStr">
        <is>
          <t>Marco entrada</t>
        </is>
      </c>
      <c r="N7" s="81" t="inlineStr">
        <is>
          <t>Horas               normales</t>
        </is>
      </c>
      <c r="O7" s="81" t="inlineStr">
        <is>
          <t>Hora nocturna salida</t>
        </is>
      </c>
      <c r="P7" s="81" t="inlineStr">
        <is>
          <t xml:space="preserve">Horas Nocturnas </t>
        </is>
      </c>
      <c r="Q7" s="82" t="inlineStr">
        <is>
          <t>Horas Suplement Base</t>
        </is>
      </c>
      <c r="R7" s="81" t="inlineStr">
        <is>
          <t>Horario normal</t>
        </is>
      </c>
      <c r="S7" s="81" t="inlineStr">
        <is>
          <t>COMIDA</t>
        </is>
      </c>
      <c r="T7" s="81" t="inlineStr">
        <is>
          <t xml:space="preserve">Horas Suplementarias </t>
        </is>
      </c>
      <c r="U7" s="81" t="inlineStr">
        <is>
          <t xml:space="preserve">Horas Extraordinarias </t>
        </is>
      </c>
      <c r="V7" s="68" t="n"/>
    </row>
    <row r="8" ht="15" customHeight="1">
      <c r="A8" s="83" t="n">
        <v>5</v>
      </c>
      <c r="B8" s="172" t="n">
        <v>46143</v>
      </c>
      <c r="C8" s="85" t="n">
        <v>0.2708333333333333</v>
      </c>
      <c r="D8" s="85" t="n">
        <v>0.8541666666666666</v>
      </c>
      <c r="E8" s="173" t="n">
        <v>0.2663541666666667</v>
      </c>
      <c r="F8" s="174" t="n">
        <v>0.2663541666666667</v>
      </c>
      <c r="G8" s="87">
        <f>IF(C8-E8&gt;0,+C8-E8,0)</f>
        <v/>
      </c>
      <c r="H8" s="88">
        <f>IF(F8-D8&gt;0,+F8-D8,0)</f>
        <v/>
      </c>
      <c r="I8" s="88">
        <f>SUM(G8:H8)</f>
        <v/>
      </c>
      <c r="J8" s="88">
        <f>IF(C8-E8&lt;0,+(+C8-E8)*-1,0)</f>
        <v/>
      </c>
      <c r="K8" s="88">
        <f>IF(F8-D8&lt;0,+(+F8-D8)*-1,0)</f>
        <v/>
      </c>
      <c r="L8" s="89">
        <f>+J8+K8</f>
        <v/>
      </c>
      <c r="M8" s="90">
        <f>+E8</f>
        <v/>
      </c>
      <c r="N8" s="91" t="n">
        <v>0.3333333333333333</v>
      </c>
      <c r="O8" s="91" t="n">
        <v>0.7916666666666666</v>
      </c>
      <c r="P8" s="92">
        <f>+F8-O8</f>
        <v/>
      </c>
      <c r="Q8" s="93">
        <f>+F8-E8</f>
        <v/>
      </c>
      <c r="R8" s="92" t="n">
        <v>0.3333333333333333</v>
      </c>
      <c r="S8" s="94" t="n"/>
      <c r="T8" s="92">
        <f>IF(Q8-R8-S8&gt;0,(Q8-R8-S8),0)</f>
        <v/>
      </c>
      <c r="U8" s="92" t="n"/>
      <c r="V8" s="95" t="n"/>
    </row>
    <row r="9" ht="15" customHeight="1">
      <c r="A9" s="83" t="n">
        <v>5</v>
      </c>
      <c r="B9" s="172" t="n">
        <v>46144</v>
      </c>
      <c r="C9" s="85" t="n">
        <v>0.2708333333333333</v>
      </c>
      <c r="D9" s="85" t="n">
        <v>0.8541666666666666</v>
      </c>
      <c r="E9" s="173" t="n">
        <v>0.265787037037037</v>
      </c>
      <c r="F9" s="174" t="n">
        <v>0.7947800925925926</v>
      </c>
      <c r="G9" s="87">
        <f>IF(C9-E9&gt;0,+C9-E9,0)</f>
        <v/>
      </c>
      <c r="H9" s="88">
        <f>IF(F9-D9&gt;0,+F9-D9,0)</f>
        <v/>
      </c>
      <c r="I9" s="88">
        <f>SUM(G9:H9)</f>
        <v/>
      </c>
      <c r="J9" s="88">
        <f>IF(C9-E9&lt;0,+(+C9-E9)*-1,0)</f>
        <v/>
      </c>
      <c r="K9" s="88">
        <f>IF(F9-D9&lt;0,+(+F9-D9)*-1,0)</f>
        <v/>
      </c>
      <c r="L9" s="89">
        <f>+J9+K9</f>
        <v/>
      </c>
      <c r="M9" s="90">
        <f>+E9</f>
        <v/>
      </c>
      <c r="N9" s="91" t="n">
        <v>0.3333333333333333</v>
      </c>
      <c r="O9" s="91" t="n">
        <v>0.7916666666666666</v>
      </c>
      <c r="P9" s="92" t="n"/>
      <c r="Q9" s="93">
        <f>+F9-E9</f>
        <v/>
      </c>
      <c r="R9" s="92" t="n">
        <v>0.3333333333333333</v>
      </c>
      <c r="S9" s="94" t="n">
        <v>0.01041666666666667</v>
      </c>
      <c r="T9" s="92">
        <f>IF(Q9-R9-S9&gt;0,(Q9-R9-S9),0)</f>
        <v/>
      </c>
      <c r="U9" s="92" t="n"/>
      <c r="V9" s="95" t="n"/>
    </row>
    <row r="10" ht="15" customHeight="1">
      <c r="A10" s="83" t="n">
        <v>5</v>
      </c>
      <c r="B10" s="172" t="n">
        <v>46146</v>
      </c>
      <c r="C10" s="85" t="n">
        <v>0.2708333333333333</v>
      </c>
      <c r="D10" s="85" t="n">
        <v>0.8541666666666666</v>
      </c>
      <c r="E10" s="173" t="n">
        <v>0.2687152777777778</v>
      </c>
      <c r="F10" s="173" t="n">
        <v>0.8587037037037037</v>
      </c>
      <c r="G10" s="87">
        <f>IF(C10-E10&gt;0,+C10-E10,0)</f>
        <v/>
      </c>
      <c r="H10" s="88">
        <f>IF(F10-D10&gt;0,+F10-D10,0)</f>
        <v/>
      </c>
      <c r="I10" s="88">
        <f>SUM(G10:H10)</f>
        <v/>
      </c>
      <c r="J10" s="88">
        <f>IF(C10-E10&lt;0,+(+C10-E10)*-1,0)</f>
        <v/>
      </c>
      <c r="K10" s="88">
        <f>IF(F10-D10&lt;0,+(+F10-D10)*-1,0)</f>
        <v/>
      </c>
      <c r="L10" s="89">
        <f>+J10+K10</f>
        <v/>
      </c>
      <c r="M10" s="90">
        <f>+E10</f>
        <v/>
      </c>
      <c r="N10" s="91" t="n">
        <v>0.3333333333333333</v>
      </c>
      <c r="O10" s="91" t="n">
        <v>0.7916666666666666</v>
      </c>
      <c r="P10" s="92">
        <f>+F10-O10</f>
        <v/>
      </c>
      <c r="Q10" s="93">
        <f>+F10-E10</f>
        <v/>
      </c>
      <c r="R10" s="92" t="n">
        <v>0.3333333333333333</v>
      </c>
      <c r="S10" s="94" t="n"/>
      <c r="T10" s="92">
        <f>IF(Q10-R10-S10&gt;0,(Q10-R10-S10),0)</f>
        <v/>
      </c>
      <c r="U10" s="92" t="n"/>
      <c r="V10" s="95" t="n"/>
    </row>
    <row r="11" ht="15" customHeight="1">
      <c r="A11" s="83" t="n">
        <v>5</v>
      </c>
      <c r="B11" s="172" t="n">
        <v>46147</v>
      </c>
      <c r="C11" s="85" t="n">
        <v>0.2708333333333333</v>
      </c>
      <c r="D11" s="85" t="n">
        <v>0.8541666666666666</v>
      </c>
      <c r="E11" s="175" t="n">
        <v>0.2676388888888889</v>
      </c>
      <c r="F11" s="173" t="n">
        <v>0.6151041666666667</v>
      </c>
      <c r="G11" s="87">
        <f>IF(C11-E11&gt;0,+C11-E11,0)</f>
        <v/>
      </c>
      <c r="H11" s="88">
        <f>IF(F11-D11&gt;0,+F11-D11,0)</f>
        <v/>
      </c>
      <c r="I11" s="88">
        <f>SUM(G11:H11)</f>
        <v/>
      </c>
      <c r="J11" s="88">
        <f>IF(C11-E11&lt;0,+(+C11-E11)*-1,0)</f>
        <v/>
      </c>
      <c r="K11" s="88">
        <f>IF(F11-D11&lt;0,+(+F11-D11)*-1,0)</f>
        <v/>
      </c>
      <c r="L11" s="89">
        <f>+J11+K11</f>
        <v/>
      </c>
      <c r="M11" s="90">
        <f>+E11</f>
        <v/>
      </c>
      <c r="N11" s="91" t="n">
        <v>0.3333333333333333</v>
      </c>
      <c r="O11" s="91" t="n">
        <v>0.7916666666666666</v>
      </c>
      <c r="P11" s="92" t="n"/>
      <c r="Q11" s="93">
        <f>+F11-E11</f>
        <v/>
      </c>
      <c r="R11" s="92" t="n">
        <v>0.3333333333333333</v>
      </c>
      <c r="S11" s="94" t="n">
        <v>0.01041666666666667</v>
      </c>
      <c r="T11" s="92">
        <f>IF(Q11-R11-S11&gt;0,(Q11-R11-S11),0)</f>
        <v/>
      </c>
      <c r="U11" s="92" t="n"/>
      <c r="V11" s="95" t="n"/>
    </row>
    <row r="12" ht="15" customHeight="1">
      <c r="A12" s="83" t="n">
        <v>5</v>
      </c>
      <c r="B12" s="172" t="n">
        <v>46148</v>
      </c>
      <c r="C12" s="85" t="n">
        <v>0.2708333333333333</v>
      </c>
      <c r="D12" s="85" t="n">
        <v>0.8541666666666666</v>
      </c>
      <c r="E12" s="173" t="n">
        <v>0.2661689814814815</v>
      </c>
      <c r="F12" s="174" t="n">
        <v>0.8581365740740741</v>
      </c>
      <c r="G12" s="87">
        <f>IF(C12-E12&gt;0,+C12-E12,0)</f>
        <v/>
      </c>
      <c r="H12" s="88">
        <f>IF(F12-D12&gt;0,+F12-D12,0)</f>
        <v/>
      </c>
      <c r="I12" s="88">
        <f>SUM(G12:H12)</f>
        <v/>
      </c>
      <c r="J12" s="88">
        <f>IF(C12-E12&lt;0,+(+C12-E12)*-1,0)</f>
        <v/>
      </c>
      <c r="K12" s="88">
        <f>IF(F12-D12&lt;0,+(+F12-D12)*-1,0)</f>
        <v/>
      </c>
      <c r="L12" s="89">
        <f>+J12+K12</f>
        <v/>
      </c>
      <c r="M12" s="90">
        <f>+E12</f>
        <v/>
      </c>
      <c r="N12" s="91" t="n">
        <v>0.3333333333333333</v>
      </c>
      <c r="O12" s="91" t="n">
        <v>0.7916666666666666</v>
      </c>
      <c r="P12" s="92">
        <f>+F12-O12</f>
        <v/>
      </c>
      <c r="Q12" s="93">
        <f>+F12-E12</f>
        <v/>
      </c>
      <c r="R12" s="92" t="n">
        <v>0.3333333333333333</v>
      </c>
      <c r="S12" s="94" t="n"/>
      <c r="T12" s="92">
        <f>IF(Q12-R12-S12&gt;0,(Q12-R12-S12),0)</f>
        <v/>
      </c>
      <c r="U12" s="92" t="n"/>
      <c r="V12" s="95" t="n"/>
    </row>
    <row r="13" ht="15" customHeight="1">
      <c r="A13" s="96" t="n">
        <v>5</v>
      </c>
      <c r="B13" s="176" t="n">
        <v>46149</v>
      </c>
      <c r="C13" s="98" t="n">
        <v>0.2708333333333333</v>
      </c>
      <c r="D13" s="98" t="n">
        <v>0.8541666666666666</v>
      </c>
      <c r="E13" s="177" t="n">
        <v>0.2687731481481481</v>
      </c>
      <c r="F13" s="177" t="n">
        <v>0.6039236111111111</v>
      </c>
      <c r="G13" s="100">
        <f>IF(C13-E13&gt;0,+C13-E13,0)</f>
        <v/>
      </c>
      <c r="H13" s="101" t="n"/>
      <c r="I13" s="101" t="n"/>
      <c r="J13" s="101">
        <f>IF(C13-E13&lt;0,+(+C13-E13)*-1,0)</f>
        <v/>
      </c>
      <c r="K13" s="101" t="n"/>
      <c r="L13" s="102" t="n"/>
      <c r="M13" s="103">
        <f>+E13</f>
        <v/>
      </c>
      <c r="N13" s="104" t="n"/>
      <c r="O13" s="104" t="n"/>
      <c r="P13" s="105" t="n"/>
      <c r="Q13" s="105" t="n"/>
      <c r="R13" s="105" t="n"/>
      <c r="S13" s="105" t="n"/>
      <c r="T13" s="105" t="n"/>
      <c r="U13" s="105" t="n"/>
      <c r="V13" s="95" t="n"/>
    </row>
    <row r="14" ht="15" customHeight="1">
      <c r="A14" s="83" t="n">
        <v>5</v>
      </c>
      <c r="B14" s="172" t="n">
        <v>46150</v>
      </c>
      <c r="C14" s="85" t="n">
        <v>0.2708333333333333</v>
      </c>
      <c r="D14" s="85" t="n">
        <v>0.8541666666666666</v>
      </c>
      <c r="E14" s="173" t="n">
        <v>0.2714004629629629</v>
      </c>
      <c r="F14" s="174" t="n">
        <v>0.8578935185185185</v>
      </c>
      <c r="G14" s="87">
        <f>IF(C14-E14&gt;0,+C14-E14,0)</f>
        <v/>
      </c>
      <c r="H14" s="88">
        <f>IF(F14-D14&gt;0,+F14-D14,0)</f>
        <v/>
      </c>
      <c r="I14" s="88">
        <f>SUM(G14:H14)</f>
        <v/>
      </c>
      <c r="J14" s="88">
        <f>IF(C14-E14&lt;0,+(+C14-E14)*-1,0)</f>
        <v/>
      </c>
      <c r="K14" s="88">
        <f>IF(F14-D14&lt;0,+(+F14-D14)*-1,0)</f>
        <v/>
      </c>
      <c r="L14" s="89">
        <f>+J14+K14</f>
        <v/>
      </c>
      <c r="M14" s="90">
        <f>+E14</f>
        <v/>
      </c>
      <c r="N14" s="91" t="n">
        <v>0.3333333333333333</v>
      </c>
      <c r="O14" s="91" t="n">
        <v>0.7916666666666666</v>
      </c>
      <c r="P14" s="92" t="n"/>
      <c r="Q14" s="93">
        <f>+F14-E14</f>
        <v/>
      </c>
      <c r="R14" s="92" t="n">
        <v>0.3333333333333333</v>
      </c>
      <c r="S14" s="94" t="n">
        <v>0.01041666666666667</v>
      </c>
      <c r="T14" s="92">
        <f>IF(Q14-R14-S14&gt;0,(Q14-R14-S14),0)</f>
        <v/>
      </c>
      <c r="U14" s="92" t="n"/>
      <c r="V14" s="95" t="n"/>
    </row>
    <row r="15" ht="15" customHeight="1">
      <c r="A15" s="83" t="n">
        <v>5</v>
      </c>
      <c r="B15" s="172" t="n">
        <v>46153</v>
      </c>
      <c r="C15" s="85" t="n">
        <v>0.2708333333333333</v>
      </c>
      <c r="D15" s="85" t="n">
        <v>0.8541666666666666</v>
      </c>
      <c r="E15" s="173" t="n">
        <v>0.2676041666666666</v>
      </c>
      <c r="F15" s="173" t="n">
        <v>0.6091203703703704</v>
      </c>
      <c r="G15" s="87">
        <f>IF(C15-E15&gt;0,+C15-E15,0)</f>
        <v/>
      </c>
      <c r="H15" s="88">
        <f>IF(F15-D15&gt;0,+F15-D15,0)</f>
        <v/>
      </c>
      <c r="I15" s="88">
        <f>SUM(G15:H15)</f>
        <v/>
      </c>
      <c r="J15" s="88">
        <f>IF(C15-E15&lt;0,+(+C15-E15)*-1,0)</f>
        <v/>
      </c>
      <c r="K15" s="88">
        <f>IF(F15-D15&lt;0,+(+F15-D15)*-1,0)</f>
        <v/>
      </c>
      <c r="L15" s="89">
        <f>+J15+K15</f>
        <v/>
      </c>
      <c r="M15" s="90">
        <f>+E15</f>
        <v/>
      </c>
      <c r="N15" s="91" t="n">
        <v>0.3333333333333333</v>
      </c>
      <c r="O15" s="91" t="n">
        <v>0.7916666666666666</v>
      </c>
      <c r="P15" s="92">
        <f>+F15-O15</f>
        <v/>
      </c>
      <c r="Q15" s="93">
        <f>+F15-E15</f>
        <v/>
      </c>
      <c r="R15" s="92" t="n">
        <v>0.3333333333333333</v>
      </c>
      <c r="S15" s="94" t="n"/>
      <c r="T15" s="92">
        <f>IF(Q15-R15-S15&gt;0,(Q15-R15-S15),0)</f>
        <v/>
      </c>
      <c r="U15" s="92" t="n"/>
      <c r="V15" s="95" t="n"/>
    </row>
    <row r="16" ht="15" customHeight="1">
      <c r="A16" s="83" t="n">
        <v>5</v>
      </c>
      <c r="B16" s="172" t="n">
        <v>46154</v>
      </c>
      <c r="C16" s="85" t="n">
        <v>0.2708333333333333</v>
      </c>
      <c r="D16" s="85" t="n">
        <v>0.8541666666666666</v>
      </c>
      <c r="E16" s="173" t="n">
        <v>0.2687152777777778</v>
      </c>
      <c r="F16" s="173" t="n">
        <v>0.8580439814814815</v>
      </c>
      <c r="G16" s="87">
        <f>IF(C16-E16&gt;0,+C16-E16,0)</f>
        <v/>
      </c>
      <c r="H16" s="88">
        <f>IF(F16-D16&gt;0,+F16-D16,0)</f>
        <v/>
      </c>
      <c r="I16" s="88">
        <f>SUM(G16:H16)</f>
        <v/>
      </c>
      <c r="J16" s="88">
        <f>IF(C16-E16&lt;0,+(+C16-E16)*-1,0)</f>
        <v/>
      </c>
      <c r="K16" s="88">
        <f>IF(F16-D16&lt;0,+(+F16-D16)*-1,0)</f>
        <v/>
      </c>
      <c r="L16" s="89">
        <f>+J16+K16</f>
        <v/>
      </c>
      <c r="M16" s="90">
        <f>+E16</f>
        <v/>
      </c>
      <c r="N16" s="91" t="n">
        <v>0.3333333333333333</v>
      </c>
      <c r="O16" s="91" t="n">
        <v>0.7916666666666666</v>
      </c>
      <c r="P16" s="92" t="n"/>
      <c r="Q16" s="93">
        <f>+F16-E16</f>
        <v/>
      </c>
      <c r="R16" s="92" t="n">
        <v>0.3333333333333333</v>
      </c>
      <c r="S16" s="94" t="n">
        <v>0.01041666666666667</v>
      </c>
      <c r="T16" s="92">
        <f>IF(Q16-R16-S16&gt;0,(Q16-R16-S16),0)</f>
        <v/>
      </c>
      <c r="U16" s="92" t="n"/>
      <c r="V16" s="95" t="n"/>
    </row>
    <row r="17" ht="15" customHeight="1">
      <c r="A17" s="83" t="n">
        <v>5</v>
      </c>
      <c r="B17" s="172" t="n">
        <v>46155</v>
      </c>
      <c r="C17" s="85" t="n">
        <v>0.2708333333333333</v>
      </c>
      <c r="D17" s="85" t="n">
        <v>0.8541666666666666</v>
      </c>
      <c r="E17" s="173" t="n">
        <v>0.2696759259259259</v>
      </c>
      <c r="F17" s="173" t="n">
        <v>0.6076041666666666</v>
      </c>
      <c r="G17" s="87">
        <f>IF(C17-E17&gt;0,+C17-E17,0)</f>
        <v/>
      </c>
      <c r="H17" s="88">
        <f>IF(F17-D17&gt;0,+F17-D17,0)</f>
        <v/>
      </c>
      <c r="I17" s="88">
        <f>SUM(G17:H17)</f>
        <v/>
      </c>
      <c r="J17" s="88">
        <f>IF(C17-E17&lt;0,+(+C17-E17)*-1,0)</f>
        <v/>
      </c>
      <c r="K17" s="88">
        <f>IF(F17-D17&lt;0,+(+F17-D17)*-1,0)</f>
        <v/>
      </c>
      <c r="L17" s="89">
        <f>+J17+K17</f>
        <v/>
      </c>
      <c r="M17" s="90">
        <f>+E17</f>
        <v/>
      </c>
      <c r="N17" s="91" t="n">
        <v>0.3333333333333333</v>
      </c>
      <c r="O17" s="91" t="n">
        <v>0.7916666666666666</v>
      </c>
      <c r="P17" s="92">
        <f>+F17-O17</f>
        <v/>
      </c>
      <c r="Q17" s="93">
        <f>+F17-E17</f>
        <v/>
      </c>
      <c r="R17" s="92" t="n">
        <v>0.3333333333333333</v>
      </c>
      <c r="S17" s="94" t="n"/>
      <c r="T17" s="92">
        <f>IF(Q17-R17-S17&gt;0,(Q17-R17-S17),0)</f>
        <v/>
      </c>
      <c r="U17" s="92" t="n"/>
      <c r="V17" s="95" t="n"/>
    </row>
    <row r="18" ht="15" customHeight="1">
      <c r="A18" s="83" t="n">
        <v>5</v>
      </c>
      <c r="B18" s="172" t="n">
        <v>46156</v>
      </c>
      <c r="C18" s="85" t="n">
        <v>0.2708333333333333</v>
      </c>
      <c r="D18" s="85" t="n">
        <v>0.8541666666666666</v>
      </c>
      <c r="E18" s="173" t="n">
        <v>0.2679398148148148</v>
      </c>
      <c r="F18" s="174" t="n">
        <v>0.8591319444444444</v>
      </c>
      <c r="G18" s="87">
        <f>IF(C18-E18&gt;0,+C18-E18,0)</f>
        <v/>
      </c>
      <c r="H18" s="88">
        <f>IF(F18-D18&gt;0,+F18-D18,0)</f>
        <v/>
      </c>
      <c r="I18" s="88">
        <f>SUM(G18:H18)</f>
        <v/>
      </c>
      <c r="J18" s="88">
        <f>IF(C18-E18&lt;0,+(+C18-E18)*-1,0)</f>
        <v/>
      </c>
      <c r="K18" s="88">
        <f>IF(F18-D18&lt;0,+(+F18-D18)*-1,0)</f>
        <v/>
      </c>
      <c r="L18" s="89">
        <f>+J18+K18</f>
        <v/>
      </c>
      <c r="M18" s="90">
        <f>+E18</f>
        <v/>
      </c>
      <c r="N18" s="91" t="n">
        <v>0.3333333333333333</v>
      </c>
      <c r="O18" s="91" t="n">
        <v>0.7916666666666666</v>
      </c>
      <c r="P18" s="92" t="n"/>
      <c r="Q18" s="93">
        <f>+F18-E18</f>
        <v/>
      </c>
      <c r="R18" s="92" t="n">
        <v>0.3333333333333333</v>
      </c>
      <c r="S18" s="94" t="n">
        <v>0.01041666666666667</v>
      </c>
      <c r="T18" s="92">
        <f>IF(Q18-R18-S18&gt;0,(Q18-R18-S18),0)</f>
        <v/>
      </c>
      <c r="U18" s="92" t="n"/>
      <c r="V18" s="95" t="n"/>
    </row>
    <row r="19" ht="15" customHeight="1">
      <c r="A19" s="96" t="n">
        <v>5</v>
      </c>
      <c r="B19" s="176" t="n">
        <v>46157</v>
      </c>
      <c r="C19" s="98" t="n">
        <v>0.2708333333333333</v>
      </c>
      <c r="D19" s="98" t="n">
        <v>0.8541666666666666</v>
      </c>
      <c r="E19" s="177" t="n">
        <v>0.2684490740740741</v>
      </c>
      <c r="F19" s="177" t="n">
        <v>0.6034490740740741</v>
      </c>
      <c r="G19" s="100">
        <f>IF(C19-E19&gt;0,+C19-E19,0)</f>
        <v/>
      </c>
      <c r="H19" s="101">
        <f>IF(F19-D19&gt;0,+F19-D19,0)</f>
        <v/>
      </c>
      <c r="I19" s="101">
        <f>SUM(G19:H19)</f>
        <v/>
      </c>
      <c r="J19" s="101">
        <f>IF(C19-E19&lt;0,+(+C19-E19)*-1,0)</f>
        <v/>
      </c>
      <c r="K19" s="101">
        <f>IF(F19-D19&lt;0,+(+F19-D19)*-1,0)</f>
        <v/>
      </c>
      <c r="L19" s="102">
        <f>+J19+K19</f>
        <v/>
      </c>
      <c r="M19" s="103">
        <f>+E19</f>
        <v/>
      </c>
      <c r="N19" s="104" t="n"/>
      <c r="O19" s="104" t="n"/>
      <c r="P19" s="105" t="n"/>
      <c r="Q19" s="105">
        <f>+F19-E19</f>
        <v/>
      </c>
      <c r="R19" s="105" t="n"/>
      <c r="S19" s="105" t="n"/>
      <c r="T19" s="105" t="n"/>
      <c r="U19" s="105">
        <f>+F19-E19</f>
        <v/>
      </c>
      <c r="V19" s="95" t="n"/>
    </row>
    <row r="20" ht="15" customHeight="1">
      <c r="A20" s="83" t="n">
        <v>5</v>
      </c>
      <c r="B20" s="172" t="n">
        <v>46158</v>
      </c>
      <c r="C20" s="85" t="n">
        <v>0.2708333333333333</v>
      </c>
      <c r="D20" s="85" t="n">
        <v>0.8541666666666666</v>
      </c>
      <c r="E20" s="173" t="n">
        <v>0.264537037037037</v>
      </c>
      <c r="F20" s="174" t="n">
        <v>0.5665740740740741</v>
      </c>
      <c r="G20" s="87">
        <f>IF(C20-E20&gt;0,+C20-E20,0)</f>
        <v/>
      </c>
      <c r="H20" s="88">
        <f>IF(F20-D20&gt;0,+F20-D20,0)</f>
        <v/>
      </c>
      <c r="I20" s="88">
        <f>SUM(G20:H20)</f>
        <v/>
      </c>
      <c r="J20" s="88">
        <f>IF(C20-E20&lt;0,+(+C20-E20)*-1,0)</f>
        <v/>
      </c>
      <c r="K20" s="88">
        <f>IF(F20-D20&lt;0,+(+F20-D20)*-1,0)</f>
        <v/>
      </c>
      <c r="L20" s="89">
        <f>+J20+K20</f>
        <v/>
      </c>
      <c r="M20" s="90">
        <f>+E20</f>
        <v/>
      </c>
      <c r="N20" s="91" t="n">
        <v>0.3333333333333333</v>
      </c>
      <c r="O20" s="91" t="n">
        <v>0.7916666666666666</v>
      </c>
      <c r="P20" s="92">
        <f>+F20-O20</f>
        <v/>
      </c>
      <c r="Q20" s="93">
        <f>+F20-E20</f>
        <v/>
      </c>
      <c r="R20" s="92" t="n">
        <v>0.3333333333333333</v>
      </c>
      <c r="S20" s="94" t="n"/>
      <c r="T20" s="92">
        <f>IF(Q20-R20-S20&gt;0,(Q20-R20-S20),0)</f>
        <v/>
      </c>
      <c r="U20" s="92" t="n"/>
      <c r="V20" s="95" t="n"/>
    </row>
    <row r="21" ht="15" customHeight="1">
      <c r="A21" s="83" t="n">
        <v>5</v>
      </c>
      <c r="B21" s="172" t="n">
        <v>46160</v>
      </c>
      <c r="C21" s="85" t="n">
        <v>0.2708333333333333</v>
      </c>
      <c r="D21" s="85" t="n">
        <v>0.8541666666666666</v>
      </c>
      <c r="E21" s="173" t="n">
        <v>0.2681828703703704</v>
      </c>
      <c r="F21" s="174" t="n">
        <v>0.8573958333333334</v>
      </c>
      <c r="G21" s="87">
        <f>IF(C21-E21&gt;0,+C21-E21,0)</f>
        <v/>
      </c>
      <c r="H21" s="88">
        <f>IF(F21-D21&gt;0,+F21-D21,0)</f>
        <v/>
      </c>
      <c r="I21" s="88">
        <f>SUM(G21:H21)</f>
        <v/>
      </c>
      <c r="J21" s="88">
        <f>IF(C21-E21&lt;0,+(+C21-E21)*-1,0)</f>
        <v/>
      </c>
      <c r="K21" s="88">
        <f>IF(F21-D21&lt;0,+(+F21-D21)*-1,0)</f>
        <v/>
      </c>
      <c r="L21" s="89">
        <f>+J21+K21</f>
        <v/>
      </c>
      <c r="M21" s="90">
        <f>+E21</f>
        <v/>
      </c>
      <c r="N21" s="91" t="n">
        <v>0.3333333333333333</v>
      </c>
      <c r="O21" s="91" t="n">
        <v>0.7916666666666666</v>
      </c>
      <c r="P21" s="92" t="n"/>
      <c r="Q21" s="93">
        <f>+F21-E21</f>
        <v/>
      </c>
      <c r="R21" s="92" t="n">
        <v>0.3333333333333333</v>
      </c>
      <c r="S21" s="94" t="n">
        <v>0.01041666666666667</v>
      </c>
      <c r="T21" s="92">
        <f>IF(Q21-R21-S21&gt;0,(Q21-R21-S21),0)</f>
        <v/>
      </c>
      <c r="U21" s="92" t="n"/>
      <c r="V21" s="95" t="n"/>
    </row>
    <row r="22" ht="15" customHeight="1">
      <c r="A22" s="83" t="n">
        <v>5</v>
      </c>
      <c r="B22" s="172" t="n">
        <v>46161</v>
      </c>
      <c r="C22" s="85" t="n">
        <v>0.2708333333333333</v>
      </c>
      <c r="D22" s="85" t="n">
        <v>0.8541666666666666</v>
      </c>
      <c r="E22" s="173" t="n">
        <v>0.2665972222222222</v>
      </c>
      <c r="F22" s="173" t="n">
        <v>0.6033564814814815</v>
      </c>
      <c r="G22" s="87">
        <f>IF(C22-E22&gt;0,+C22-E22,0)</f>
        <v/>
      </c>
      <c r="H22" s="88">
        <f>IF(F22-D22&gt;0,+F22-D22,0)</f>
        <v/>
      </c>
      <c r="I22" s="88">
        <f>SUM(G22:H22)</f>
        <v/>
      </c>
      <c r="J22" s="88">
        <f>IF(C22-E22&lt;0,+(+C22-E22)*-1,0)</f>
        <v/>
      </c>
      <c r="K22" s="88">
        <f>IF(F22-D22&lt;0,+(+F22-D22)*-1,0)</f>
        <v/>
      </c>
      <c r="L22" s="89">
        <f>+J22+K22</f>
        <v/>
      </c>
      <c r="M22" s="90">
        <f>+E22</f>
        <v/>
      </c>
      <c r="N22" s="91" t="n">
        <v>0.3333333333333333</v>
      </c>
      <c r="O22" s="91" t="n">
        <v>0.7916666666666666</v>
      </c>
      <c r="P22" s="92">
        <f>+F22-O22</f>
        <v/>
      </c>
      <c r="Q22" s="93">
        <f>+F22-E22</f>
        <v/>
      </c>
      <c r="R22" s="92" t="n">
        <v>0.3333333333333333</v>
      </c>
      <c r="S22" s="94" t="n"/>
      <c r="T22" s="92">
        <f>IF(Q22-R22-S22&gt;0,(Q22-R22-S22),0)</f>
        <v/>
      </c>
      <c r="U22" s="92" t="n"/>
      <c r="V22" s="95" t="n"/>
    </row>
    <row r="23" ht="15" customHeight="1">
      <c r="A23" s="83" t="n">
        <v>5</v>
      </c>
      <c r="B23" s="172" t="n">
        <v>46162</v>
      </c>
      <c r="C23" s="85" t="n">
        <v>0.2708333333333333</v>
      </c>
      <c r="D23" s="85" t="n">
        <v>0.8541666666666666</v>
      </c>
      <c r="E23" s="173" t="n">
        <v>0.2630324074074074</v>
      </c>
      <c r="F23" s="173" t="n">
        <v>0.8564699074074074</v>
      </c>
      <c r="G23" s="87">
        <f>IF(C23-E23&gt;0,+C23-E23,0)</f>
        <v/>
      </c>
      <c r="H23" s="88">
        <f>IF(F23-D23&gt;0,+F23-D23,0)</f>
        <v/>
      </c>
      <c r="I23" s="88">
        <f>SUM(G23:H23)</f>
        <v/>
      </c>
      <c r="J23" s="88">
        <f>IF(C23-E23&lt;0,+(+C23-E23)*-1,0)</f>
        <v/>
      </c>
      <c r="K23" s="88">
        <f>IF(F23-D23&lt;0,+(+F23-D23)*-1,0)</f>
        <v/>
      </c>
      <c r="L23" s="89">
        <f>+J23+K23</f>
        <v/>
      </c>
      <c r="M23" s="90">
        <f>+E23</f>
        <v/>
      </c>
      <c r="N23" s="91" t="n">
        <v>0.3333333333333333</v>
      </c>
      <c r="O23" s="91" t="n">
        <v>0.7916666666666666</v>
      </c>
      <c r="P23" s="92" t="n"/>
      <c r="Q23" s="93">
        <f>+F23-E23</f>
        <v/>
      </c>
      <c r="R23" s="92" t="n">
        <v>0.3333333333333333</v>
      </c>
      <c r="S23" s="94" t="n">
        <v>0.01041666666666667</v>
      </c>
      <c r="T23" s="92">
        <f>IF(Q23-R23-S23&gt;0,(Q23-R23-S23),0)</f>
        <v/>
      </c>
      <c r="U23" s="92" t="n"/>
      <c r="V23" s="95" t="n"/>
    </row>
    <row r="24" ht="15" customHeight="1">
      <c r="A24" s="83" t="n">
        <v>5</v>
      </c>
      <c r="B24" s="172" t="n">
        <v>46163</v>
      </c>
      <c r="C24" s="85" t="n">
        <v>0.2708333333333333</v>
      </c>
      <c r="D24" s="85" t="n">
        <v>0.8541666666666666</v>
      </c>
      <c r="E24" s="173" t="n">
        <v>0.2631597222222222</v>
      </c>
      <c r="F24" s="174" t="n">
        <v>0.2631597222222222</v>
      </c>
      <c r="G24" s="87">
        <f>IF(C24-E24&gt;0,+C24-E24,0)</f>
        <v/>
      </c>
      <c r="H24" s="88">
        <f>IF(F24-D24&gt;0,+F24-D24,0)</f>
        <v/>
      </c>
      <c r="I24" s="88">
        <f>SUM(G24:H24)</f>
        <v/>
      </c>
      <c r="J24" s="88">
        <f>IF(C24-E24&lt;0,+(+C24-E24)*-1,0)</f>
        <v/>
      </c>
      <c r="K24" s="88">
        <f>IF(F24-D24&lt;0,+(+F24-D24)*-1,0)</f>
        <v/>
      </c>
      <c r="L24" s="89">
        <f>+J24+K24</f>
        <v/>
      </c>
      <c r="M24" s="90">
        <f>+E24</f>
        <v/>
      </c>
      <c r="N24" s="91" t="n">
        <v>0.3333333333333333</v>
      </c>
      <c r="O24" s="91" t="n">
        <v>0.7916666666666666</v>
      </c>
      <c r="P24" s="92">
        <f>+F24-O24</f>
        <v/>
      </c>
      <c r="Q24" s="93">
        <f>+F24-E24</f>
        <v/>
      </c>
      <c r="R24" s="92" t="n">
        <v>0.3333333333333333</v>
      </c>
      <c r="S24" s="94" t="n"/>
      <c r="T24" s="92">
        <f>IF(Q24-R24-S24&gt;0,(Q24-R24-S24),0)</f>
        <v/>
      </c>
      <c r="U24" s="92" t="n"/>
      <c r="V24" s="95" t="n"/>
    </row>
    <row r="25" ht="15" customHeight="1">
      <c r="A25" s="96" t="n">
        <v>5</v>
      </c>
      <c r="B25" s="176" t="n">
        <v>46164</v>
      </c>
      <c r="C25" s="98" t="n">
        <v>0.2708333333333333</v>
      </c>
      <c r="D25" s="98" t="n">
        <v>0.8541666666666666</v>
      </c>
      <c r="E25" s="177" t="n">
        <v>0.2639236111111111</v>
      </c>
      <c r="F25" s="177" t="n">
        <v>0.8610069444444445</v>
      </c>
      <c r="G25" s="100">
        <f>IF(C25-E25&gt;0,+C25-E25,0)</f>
        <v/>
      </c>
      <c r="H25" s="101">
        <f>IF(F25-D25&gt;0,+F25-D25,0)</f>
        <v/>
      </c>
      <c r="I25" s="101">
        <f>SUM(G25:H25)</f>
        <v/>
      </c>
      <c r="J25" s="101">
        <f>IF(C25-E25&lt;0,+(+C25-E25)*-1,0)</f>
        <v/>
      </c>
      <c r="K25" s="101">
        <f>IF(F25-D25&lt;0,+(+F25-D25)*-1,0)</f>
        <v/>
      </c>
      <c r="L25" s="102">
        <f>+J25+K25</f>
        <v/>
      </c>
      <c r="M25" s="103">
        <f>+E25</f>
        <v/>
      </c>
      <c r="N25" s="104" t="n"/>
      <c r="O25" s="104" t="n"/>
      <c r="P25" s="105" t="n"/>
      <c r="Q25" s="105">
        <f>+F25-E25</f>
        <v/>
      </c>
      <c r="R25" s="105" t="n"/>
      <c r="S25" s="105" t="n"/>
      <c r="T25" s="105" t="n"/>
      <c r="U25" s="105">
        <f>+F25-E25</f>
        <v/>
      </c>
      <c r="V25" s="95" t="n"/>
    </row>
    <row r="26" ht="15" customHeight="1">
      <c r="A26" s="83" t="n">
        <v>5</v>
      </c>
      <c r="B26" s="172" t="n">
        <v>46165</v>
      </c>
      <c r="C26" s="85" t="n">
        <v>0.2708333333333333</v>
      </c>
      <c r="D26" s="85" t="n">
        <v>0.8541666666666666</v>
      </c>
      <c r="E26" s="173" t="n">
        <v>0.2648148148148148</v>
      </c>
      <c r="F26" s="173" t="n">
        <v>0.5636111111111111</v>
      </c>
      <c r="G26" s="87">
        <f>IF(C26-E26&gt;0,+C26-E26,0)</f>
        <v/>
      </c>
      <c r="H26" s="88">
        <f>IF(F26-D26&gt;0,+F26-D26,0)</f>
        <v/>
      </c>
      <c r="I26" s="88">
        <f>SUM(G26:H26)</f>
        <v/>
      </c>
      <c r="J26" s="88">
        <f>IF(C26-E26&lt;0,+(+C26-E26)*-1,0)</f>
        <v/>
      </c>
      <c r="K26" s="88">
        <f>IF(F26-D26&lt;0,+(+F26-D26)*-1,0)</f>
        <v/>
      </c>
      <c r="L26" s="89">
        <f>+J26+K26</f>
        <v/>
      </c>
      <c r="M26" s="90">
        <f>+E26</f>
        <v/>
      </c>
      <c r="N26" s="91" t="n">
        <v>0.3333333333333333</v>
      </c>
      <c r="O26" s="91" t="n">
        <v>0.7916666666666666</v>
      </c>
      <c r="P26" s="92">
        <f>+F26-O26</f>
        <v/>
      </c>
      <c r="Q26" s="93">
        <f>+F26-E26</f>
        <v/>
      </c>
      <c r="R26" s="92" t="n">
        <v>0.3333333333333333</v>
      </c>
      <c r="S26" s="94" t="n"/>
      <c r="T26" s="92">
        <f>IF(Q26-R26-S26&gt;0,(Q26-R26-S26),0)</f>
        <v/>
      </c>
      <c r="U26" s="92" t="n"/>
      <c r="V26" s="95" t="n"/>
    </row>
    <row r="27" ht="15" customHeight="1">
      <c r="A27" s="83" t="n">
        <v>5</v>
      </c>
      <c r="B27" s="172" t="n">
        <v>46167</v>
      </c>
      <c r="C27" s="85" t="n">
        <v>0.2708333333333333</v>
      </c>
      <c r="D27" s="85" t="n">
        <v>0.8541666666666666</v>
      </c>
      <c r="E27" s="173" t="n">
        <v>0.2641087962962963</v>
      </c>
      <c r="F27" s="174" t="n">
        <v>0.2641087962962963</v>
      </c>
      <c r="G27" s="87">
        <f>IF(C27-E27&gt;0,+C27-E27,0)</f>
        <v/>
      </c>
      <c r="H27" s="88">
        <f>IF(F27-D27&gt;0,+F27-D27,0)</f>
        <v/>
      </c>
      <c r="I27" s="88">
        <f>SUM(G27:H27)</f>
        <v/>
      </c>
      <c r="J27" s="88">
        <f>IF(C27-E27&lt;0,+(+C27-E27)*-1,0)</f>
        <v/>
      </c>
      <c r="K27" s="88">
        <f>IF(F27-D27&lt;0,+(+F27-D27)*-1,0)</f>
        <v/>
      </c>
      <c r="L27" s="89">
        <f>+J27+K27</f>
        <v/>
      </c>
      <c r="M27" s="90">
        <f>+E27</f>
        <v/>
      </c>
      <c r="N27" s="91" t="n">
        <v>0.3333333333333333</v>
      </c>
      <c r="O27" s="91" t="n">
        <v>0.7916666666666666</v>
      </c>
      <c r="P27" s="92">
        <f>+F27-O27</f>
        <v/>
      </c>
      <c r="Q27" s="93">
        <f>+F27-E27</f>
        <v/>
      </c>
      <c r="R27" s="92" t="n">
        <v>0.3333333333333333</v>
      </c>
      <c r="S27" s="94" t="n"/>
      <c r="T27" s="92">
        <f>IF(Q27-R27-S27&gt;0,(Q27-R27-S27),0)</f>
        <v/>
      </c>
      <c r="U27" s="92" t="n"/>
      <c r="V27" s="95" t="n"/>
    </row>
    <row r="28" ht="15" customHeight="1">
      <c r="A28" s="83" t="n">
        <v>5</v>
      </c>
      <c r="B28" s="172" t="n">
        <v>46168</v>
      </c>
      <c r="C28" s="85" t="n">
        <v>0.2708333333333333</v>
      </c>
      <c r="D28" s="85" t="n">
        <v>0.8541666666666666</v>
      </c>
      <c r="E28" s="173" t="n">
        <v>0.2650925925925926</v>
      </c>
      <c r="F28" s="173" t="n">
        <v>0.8570717592592593</v>
      </c>
      <c r="G28" s="87">
        <f>IF(C28-E28&gt;0,+C28-E28,0)</f>
        <v/>
      </c>
      <c r="H28" s="88">
        <f>IF(F28-D28&gt;0,+F28-D28,0)</f>
        <v/>
      </c>
      <c r="I28" s="88">
        <f>SUM(G28:H28)</f>
        <v/>
      </c>
      <c r="J28" s="88">
        <f>IF(C28-E28&lt;0,+(+C28-E28)*-1,0)</f>
        <v/>
      </c>
      <c r="K28" s="88">
        <f>IF(F28-D28&lt;0,+(+F28-D28)*-1,0)</f>
        <v/>
      </c>
      <c r="L28" s="89">
        <f>+J28+K28</f>
        <v/>
      </c>
      <c r="M28" s="90">
        <f>+E28</f>
        <v/>
      </c>
      <c r="N28" s="91" t="n">
        <v>0.3333333333333333</v>
      </c>
      <c r="O28" s="91" t="n">
        <v>0.7916666666666666</v>
      </c>
      <c r="P28" s="92" t="n"/>
      <c r="Q28" s="93">
        <f>+F28-E28</f>
        <v/>
      </c>
      <c r="R28" s="92" t="n">
        <v>0.3333333333333333</v>
      </c>
      <c r="S28" s="94" t="n">
        <v>0.01041666666666667</v>
      </c>
      <c r="T28" s="92">
        <f>IF(Q28-R28-S28&gt;0,(Q28-R28-S28),0)</f>
        <v/>
      </c>
      <c r="U28" s="92" t="n"/>
      <c r="V28" s="95" t="n"/>
    </row>
    <row r="29" ht="15" customHeight="1">
      <c r="A29" s="83" t="n">
        <v>5</v>
      </c>
      <c r="B29" s="172" t="n">
        <v>46169</v>
      </c>
      <c r="C29" s="85" t="n">
        <v>0.2708333333333333</v>
      </c>
      <c r="D29" s="85" t="n">
        <v>0.8541666666666666</v>
      </c>
      <c r="E29" s="173" t="n">
        <v>0.2646759259259259</v>
      </c>
      <c r="F29" s="173" t="n">
        <v>0.6041087962962963</v>
      </c>
      <c r="G29" s="87">
        <f>IF(C29-E29&gt;0,+C29-E29,0)</f>
        <v/>
      </c>
      <c r="H29" s="88">
        <f>IF(F29-D29&gt;0,+F29-D29,0)</f>
        <v/>
      </c>
      <c r="I29" s="88">
        <f>SUM(G29:H29)</f>
        <v/>
      </c>
      <c r="J29" s="88">
        <f>IF(C29-E29&lt;0,+(+C29-E29)*-1,0)</f>
        <v/>
      </c>
      <c r="K29" s="88">
        <f>IF(F29-D29&lt;0,+(+F29-D29)*-1,0)</f>
        <v/>
      </c>
      <c r="L29" s="89">
        <f>+J29+K29</f>
        <v/>
      </c>
      <c r="M29" s="90">
        <f>+E29</f>
        <v/>
      </c>
      <c r="N29" s="91" t="n">
        <v>0.3333333333333333</v>
      </c>
      <c r="O29" s="91" t="n">
        <v>0.7916666666666666</v>
      </c>
      <c r="P29" s="92">
        <f>+F29-O29</f>
        <v/>
      </c>
      <c r="Q29" s="93">
        <f>+F29-E29</f>
        <v/>
      </c>
      <c r="R29" s="92" t="n">
        <v>0.3333333333333333</v>
      </c>
      <c r="S29" s="94" t="n"/>
      <c r="T29" s="92">
        <f>IF(Q29-R29-S29&gt;0,(Q29-R29-S29),0)</f>
        <v/>
      </c>
      <c r="U29" s="92" t="n"/>
      <c r="V29" s="95" t="n"/>
    </row>
    <row r="30" ht="15" customHeight="1">
      <c r="A30" s="83" t="n">
        <v>5</v>
      </c>
      <c r="B30" s="172" t="n">
        <v>46170</v>
      </c>
      <c r="C30" s="85" t="n">
        <v>0.2708333333333333</v>
      </c>
      <c r="D30" s="85" t="n">
        <v>0.8541666666666666</v>
      </c>
      <c r="E30" s="173" t="n">
        <v>0.2670833333333333</v>
      </c>
      <c r="F30" s="174" t="n">
        <v>0.8580324074074074</v>
      </c>
      <c r="G30" s="87">
        <f>IF(C30-E30&gt;0,+C30-E30,0)</f>
        <v/>
      </c>
      <c r="H30" s="88">
        <f>IF(F30-D30&gt;0,+F30-D30,0)</f>
        <v/>
      </c>
      <c r="I30" s="88">
        <f>SUM(G30:H30)</f>
        <v/>
      </c>
      <c r="J30" s="88">
        <f>IF(C30-E30&lt;0,+(+C30-E30)*-1,0)</f>
        <v/>
      </c>
      <c r="K30" s="88">
        <f>IF(F30-D30&lt;0,+(+F30-D30)*-1,0)</f>
        <v/>
      </c>
      <c r="L30" s="89">
        <f>+J30+K30</f>
        <v/>
      </c>
      <c r="M30" s="90">
        <f>+E30</f>
        <v/>
      </c>
      <c r="N30" s="91" t="n">
        <v>0.3333333333333333</v>
      </c>
      <c r="O30" s="91" t="n">
        <v>0.7916666666666666</v>
      </c>
      <c r="P30" s="92" t="n"/>
      <c r="Q30" s="93">
        <f>+F30-E30</f>
        <v/>
      </c>
      <c r="R30" s="92" t="n">
        <v>0.3333333333333333</v>
      </c>
      <c r="S30" s="94" t="n">
        <v>0.01041666666666667</v>
      </c>
      <c r="T30" s="92">
        <f>IF(Q30-R30-S30&gt;0,(Q30-R30-S30),0)</f>
        <v/>
      </c>
      <c r="U30" s="92" t="n"/>
      <c r="V30" s="95" t="n"/>
    </row>
    <row r="31" ht="15" customHeight="1">
      <c r="A31" s="96" t="n">
        <v>5</v>
      </c>
      <c r="B31" s="176" t="n">
        <v>46171</v>
      </c>
      <c r="C31" s="98" t="n">
        <v>0.2708333333333333</v>
      </c>
      <c r="D31" s="98" t="n">
        <v>0.8541666666666666</v>
      </c>
      <c r="E31" s="177" t="n">
        <v>0.2666550925925926</v>
      </c>
      <c r="F31" s="177" t="n">
        <v>0.6058101851851851</v>
      </c>
      <c r="G31" s="100">
        <f>IF(C31-E31&gt;0,+C31-E31,0)</f>
        <v/>
      </c>
      <c r="H31" s="101">
        <f>IF(F31-D31&gt;0,+F31-D31,0)</f>
        <v/>
      </c>
      <c r="I31" s="101">
        <f>SUM(G31:H31)</f>
        <v/>
      </c>
      <c r="J31" s="101">
        <f>IF(C31-E31&lt;0,+(+C31-E31)*-1,0)</f>
        <v/>
      </c>
      <c r="K31" s="101">
        <f>IF(F31-D31&lt;0,+(+F31-D31)*-1,0)</f>
        <v/>
      </c>
      <c r="L31" s="102">
        <f>+J31+K31</f>
        <v/>
      </c>
      <c r="M31" s="103">
        <f>+E31</f>
        <v/>
      </c>
      <c r="N31" s="104" t="n"/>
      <c r="O31" s="104" t="n"/>
      <c r="P31" s="105" t="n"/>
      <c r="Q31" s="105">
        <f>+F31-E31</f>
        <v/>
      </c>
      <c r="R31" s="105" t="n"/>
      <c r="S31" s="105" t="n"/>
      <c r="T31" s="105" t="n"/>
      <c r="U31" s="105">
        <f>+F31-E31</f>
        <v/>
      </c>
      <c r="V31" s="95" t="n"/>
    </row>
    <row r="32" ht="15" customHeight="1">
      <c r="A32" s="83" t="n">
        <v>5</v>
      </c>
      <c r="B32" s="172" t="n">
        <v>46172</v>
      </c>
      <c r="C32" s="85" t="n">
        <v>0.2708333333333333</v>
      </c>
      <c r="D32" s="85" t="n">
        <v>0.8541666666666666</v>
      </c>
      <c r="E32" s="173" t="n">
        <v>0.2653935185185185</v>
      </c>
      <c r="F32" s="174" t="n">
        <v>0.5625925925925926</v>
      </c>
      <c r="G32" s="87">
        <f>IF(C32-E32&gt;0,+C32-E32,0)</f>
        <v/>
      </c>
      <c r="H32" s="88">
        <f>IF(F32-D32&gt;0,+F32-D32,0)</f>
        <v/>
      </c>
      <c r="I32" s="88">
        <f>SUM(G32:H32)</f>
        <v/>
      </c>
      <c r="J32" s="88">
        <f>IF(C32-E32&lt;0,+(+C32-E32)*-1,0)</f>
        <v/>
      </c>
      <c r="K32" s="88">
        <f>IF(F32-D32&lt;0,+(+F32-D32)*-1,0)</f>
        <v/>
      </c>
      <c r="L32" s="89">
        <f>+J32+K32</f>
        <v/>
      </c>
      <c r="M32" s="90">
        <f>+E32</f>
        <v/>
      </c>
      <c r="N32" s="91" t="n">
        <v>0.3333333333333333</v>
      </c>
      <c r="O32" s="91" t="n">
        <v>0.7916666666666666</v>
      </c>
      <c r="P32" s="92">
        <f>+F32-O32</f>
        <v/>
      </c>
      <c r="Q32" s="93">
        <f>+F32-E32</f>
        <v/>
      </c>
      <c r="R32" s="92" t="n">
        <v>0.3333333333333333</v>
      </c>
      <c r="S32" s="94" t="n"/>
      <c r="T32" s="92">
        <f>IF(Q32-R32-S32&gt;0,(Q32-R32-S32),0)</f>
        <v/>
      </c>
      <c r="U32" s="92" t="n"/>
      <c r="V32" s="95" t="n"/>
    </row>
    <row r="33" ht="15" customHeight="1">
      <c r="A33" s="83" t="n">
        <v>5</v>
      </c>
      <c r="B33" s="84" t="n"/>
      <c r="C33" s="85" t="n">
        <v>0.2708333333333333</v>
      </c>
      <c r="D33" s="85" t="n">
        <v>0.8541666666666666</v>
      </c>
      <c r="E33" s="86" t="n"/>
      <c r="F33" s="86" t="n"/>
      <c r="G33" s="87">
        <f>IF(C33-E33&gt;0,+C33-E33,0)</f>
        <v/>
      </c>
      <c r="H33" s="88">
        <f>IF(F33-D33&gt;0,+F33-D33,0)</f>
        <v/>
      </c>
      <c r="I33" s="88">
        <f>SUM(G33:H33)</f>
        <v/>
      </c>
      <c r="J33" s="88">
        <f>IF(C33-E33&lt;0,+(+C33-E33)*-1,0)</f>
        <v/>
      </c>
      <c r="K33" s="88">
        <f>IF(F33-D33&lt;0,+(+F33-D33)*-1,0)</f>
        <v/>
      </c>
      <c r="L33" s="89">
        <f>+J33+K33</f>
        <v/>
      </c>
      <c r="M33" s="90">
        <f>+E33</f>
        <v/>
      </c>
      <c r="N33" s="91" t="n">
        <v>0.3333333333333333</v>
      </c>
      <c r="O33" s="91" t="n">
        <v>0.7916666666666666</v>
      </c>
      <c r="P33" s="92" t="n"/>
      <c r="Q33" s="93">
        <f>+F33-E33</f>
        <v/>
      </c>
      <c r="R33" s="92" t="n">
        <v>0.3333333333333333</v>
      </c>
      <c r="S33" s="94" t="n">
        <v>0.01041666666666667</v>
      </c>
      <c r="T33" s="92">
        <f>IF(Q33-R33-S33&gt;0,(Q33-R33-S33),0)</f>
        <v/>
      </c>
      <c r="U33" s="92" t="n"/>
      <c r="V33" s="95" t="n"/>
    </row>
    <row r="34" ht="18" customHeight="1">
      <c r="A34" s="108" t="n"/>
      <c r="B34" s="108" t="n"/>
      <c r="C34" s="108" t="n"/>
      <c r="D34" s="108" t="n"/>
      <c r="E34" s="109" t="n"/>
      <c r="F34" s="109" t="n"/>
      <c r="G34" s="108" t="n"/>
      <c r="H34" s="108" t="n"/>
      <c r="I34" s="108" t="n"/>
      <c r="J34" s="108" t="n"/>
      <c r="K34" s="108" t="n"/>
      <c r="L34" s="108" t="n"/>
      <c r="M34" s="110" t="n"/>
      <c r="N34" s="108" t="n"/>
      <c r="O34" s="108" t="n"/>
      <c r="P34" s="111">
        <f>SUM(P8:P33)</f>
        <v/>
      </c>
      <c r="Q34" s="112" t="n"/>
      <c r="R34" s="112" t="n"/>
      <c r="S34" s="112" t="n"/>
      <c r="T34" s="111">
        <f>SUM(T8:T33)</f>
        <v/>
      </c>
      <c r="U34" s="111">
        <f>SUM(U8:U33)</f>
        <v/>
      </c>
    </row>
    <row r="35" ht="18" customHeight="1">
      <c r="P35" s="113" t="n"/>
      <c r="Q35" s="113" t="n"/>
      <c r="R35" s="114" t="n"/>
      <c r="S35" s="114" t="n"/>
      <c r="T35" s="113" t="n"/>
      <c r="U35" s="113" t="n"/>
    </row>
    <row r="36" ht="18" customHeight="1">
      <c r="P36" s="113" t="n"/>
      <c r="Q36" s="113" t="n"/>
      <c r="R36" s="114" t="n"/>
      <c r="S36" s="114" t="n"/>
      <c r="T36" s="113" t="n"/>
      <c r="U36" s="113" t="n"/>
    </row>
    <row r="37" ht="18" customHeight="1">
      <c r="P37" s="113" t="n"/>
      <c r="Q37" s="114" t="n"/>
      <c r="R37" s="114" t="n"/>
      <c r="S37" s="114" t="n"/>
      <c r="T37" s="113" t="n"/>
      <c r="U37" s="113" t="n"/>
    </row>
    <row r="38" ht="12.75" customHeight="1" thickBot="1">
      <c r="A38" s="115" t="n"/>
    </row>
    <row r="39" ht="48" customHeight="1">
      <c r="G39" s="140" t="inlineStr">
        <is>
          <t>Tipo horas</t>
        </is>
      </c>
      <c r="H39" s="170" t="n"/>
      <c r="I39" s="116" t="inlineStr">
        <is>
          <t>No horas</t>
        </is>
      </c>
      <c r="J39" s="116" t="inlineStr">
        <is>
          <t>No. minutos</t>
        </is>
      </c>
      <c r="K39" s="117" t="inlineStr">
        <is>
          <t>Valor x  hora  US$</t>
        </is>
      </c>
      <c r="L39" s="116" t="inlineStr">
        <is>
          <t xml:space="preserve"> Recargo</t>
        </is>
      </c>
      <c r="M39" s="118" t="inlineStr">
        <is>
          <t>Valor x  hora con recargo                     US$</t>
        </is>
      </c>
      <c r="N39" s="119" t="inlineStr">
        <is>
          <t>Valor        horas          US$</t>
        </is>
      </c>
      <c r="O39" s="120" t="inlineStr">
        <is>
          <t>Valor          minutos               US$</t>
        </is>
      </c>
      <c r="P39" s="121" t="inlineStr">
        <is>
          <t>Valor total US$</t>
        </is>
      </c>
    </row>
    <row r="40">
      <c r="A40" s="122" t="n"/>
      <c r="G40" s="140" t="inlineStr">
        <is>
          <t>Horas nocturnas</t>
        </is>
      </c>
      <c r="H40" s="170" t="n"/>
      <c r="I40" s="123" t="n">
        <v>15</v>
      </c>
      <c r="J40" s="123" t="n">
        <v>53</v>
      </c>
      <c r="K40" s="178" t="n">
        <v>2.0083</v>
      </c>
      <c r="L40" s="179" t="n">
        <v>0.25</v>
      </c>
      <c r="M40" s="180">
        <f>+K40*L40</f>
        <v/>
      </c>
      <c r="N40" s="126">
        <f>+I40*M40</f>
        <v/>
      </c>
      <c r="O40" s="123">
        <f>(+M40/60)*J40</f>
        <v/>
      </c>
      <c r="P40" s="127">
        <f>+N40+O40</f>
        <v/>
      </c>
    </row>
    <row r="41">
      <c r="A41" s="115" t="n"/>
      <c r="G41" s="140" t="inlineStr">
        <is>
          <t>Horas suplemenarias</t>
        </is>
      </c>
      <c r="H41" s="170" t="n"/>
      <c r="I41" s="123" t="n">
        <v>61</v>
      </c>
      <c r="J41" s="123" t="n">
        <v>59</v>
      </c>
      <c r="K41" s="178" t="n">
        <v>2.0083</v>
      </c>
      <c r="L41" s="179" t="n">
        <v>1.5</v>
      </c>
      <c r="M41" s="180">
        <f>+K41*L41</f>
        <v/>
      </c>
      <c r="N41" s="126">
        <f>+I41*M41</f>
        <v/>
      </c>
      <c r="O41" s="123">
        <f>(+M41/60)*J41</f>
        <v/>
      </c>
      <c r="P41" s="127">
        <f>+N41+O41</f>
        <v/>
      </c>
    </row>
    <row r="42">
      <c r="A42" s="115" t="n"/>
      <c r="G42" s="140" t="inlineStr">
        <is>
          <t>Horas extraordinarias</t>
        </is>
      </c>
      <c r="H42" s="170" t="n"/>
      <c r="I42" s="123" t="n">
        <v>66</v>
      </c>
      <c r="J42" s="123" t="n">
        <v>2</v>
      </c>
      <c r="K42" s="178" t="n">
        <v>2.0083</v>
      </c>
      <c r="L42" s="179" t="n">
        <v>2</v>
      </c>
      <c r="M42" s="180">
        <f>+K42*L42</f>
        <v/>
      </c>
      <c r="N42" s="126">
        <f>+I42*M42</f>
        <v/>
      </c>
      <c r="O42" s="123">
        <f>(+M42/60)*J42</f>
        <v/>
      </c>
      <c r="P42" s="127">
        <f>+N42+O42</f>
        <v/>
      </c>
      <c r="R42" s="128" t="n"/>
      <c r="S42" s="128" t="n"/>
      <c r="T42" s="128" t="n"/>
      <c r="V42" s="129" t="n"/>
    </row>
    <row r="43" ht="12.75" customHeight="1" thickBot="1">
      <c r="L43" s="130" t="inlineStr">
        <is>
          <t>Total</t>
        </is>
      </c>
      <c r="M43" s="131" t="n"/>
      <c r="N43" s="132">
        <f>SUM(N40:N42)</f>
        <v/>
      </c>
      <c r="O43" s="132">
        <f>SUM(O40:O42)</f>
        <v/>
      </c>
      <c r="P43" s="133">
        <f>SUM(P40:P42)</f>
        <v/>
      </c>
      <c r="R43" s="141" t="inlineStr">
        <is>
          <t>FIRMA CONFORME</t>
        </is>
      </c>
      <c r="S43" s="181" t="n"/>
      <c r="T43" s="181" t="n"/>
    </row>
    <row r="44"/>
    <row r="45">
      <c r="A45" s="134" t="n"/>
    </row>
  </sheetData>
  <mergeCells count="14">
    <mergeCell ref="M6:U6"/>
    <mergeCell ref="G6:L6"/>
    <mergeCell ref="G42:H42"/>
    <mergeCell ref="F6:F7"/>
    <mergeCell ref="G41:H41"/>
    <mergeCell ref="E6:E7"/>
    <mergeCell ref="C6:C7"/>
    <mergeCell ref="A6:A7"/>
    <mergeCell ref="G40:H40"/>
    <mergeCell ref="D6:D7"/>
    <mergeCell ref="B6:B7"/>
    <mergeCell ref="R43:T43"/>
    <mergeCell ref="R2:R3"/>
    <mergeCell ref="G39:H39"/>
  </mergeCells>
  <pageMargins left="0.15" right="0.19" top="0.7480314960629921" bottom="0.7480314960629921" header="0.3149606299212598" footer="0.3149606299212598"/>
  <pageSetup orientation="landscape" scale="63" horizontalDpi="4294967293" verticalDpi="7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48"/>
  <sheetViews>
    <sheetView workbookViewId="0">
      <selection activeCell="P9" sqref="P9"/>
    </sheetView>
  </sheetViews>
  <sheetFormatPr baseColWidth="10" defaultColWidth="8" defaultRowHeight="12.75"/>
  <cols>
    <col width="8" customWidth="1" style="1" min="1" max="1"/>
    <col width="10.42578125" customWidth="1" style="1" min="2" max="2"/>
    <col width="7.7109375" customWidth="1" style="1" min="3" max="3"/>
    <col width="8.5703125" customWidth="1" style="1" min="4" max="4"/>
    <col width="8.85546875" customWidth="1" style="1" min="5" max="5"/>
    <col width="8.7109375" customWidth="1" style="1" min="6" max="6"/>
    <col width="9.42578125" customWidth="1" style="1" min="7" max="7"/>
    <col width="10" customWidth="1" style="1" min="8" max="8"/>
    <col width="10.140625" customWidth="1" style="1" min="9" max="9"/>
    <col width="11.42578125" customWidth="1" style="1" min="10" max="12"/>
    <col width="8.7109375" bestFit="1" customWidth="1" style="1" min="13" max="13"/>
    <col width="8.42578125" bestFit="1" customWidth="1" style="1" min="14" max="14"/>
    <col width="13.140625" customWidth="1" style="1" min="15" max="15"/>
    <col width="10.28515625" customWidth="1" style="1" min="16" max="16"/>
    <col width="10.5703125" customWidth="1" style="1" min="17" max="17"/>
    <col width="9.7109375" customWidth="1" style="1" min="18" max="18"/>
    <col width="14.42578125" customWidth="1" style="1" min="19" max="19"/>
    <col width="13.28515625" customWidth="1" style="1" min="20" max="20"/>
    <col width="11.42578125" customWidth="1" style="1" min="21" max="21"/>
    <col width="13.5703125" customWidth="1" style="1" min="22" max="22"/>
    <col width="11.42578125" customWidth="1" style="1" min="23" max="253"/>
    <col width="8" customWidth="1" style="1" min="254" max="16384"/>
  </cols>
  <sheetData>
    <row r="1">
      <c r="A1" s="1" t="inlineStr">
        <is>
          <t>PAN CASERO</t>
        </is>
      </c>
    </row>
    <row r="2">
      <c r="A2" s="1" t="inlineStr">
        <is>
          <t>REPORTES DE HORAS RELOJ JUNIO 2016</t>
        </is>
      </c>
      <c r="R2" s="182" t="inlineStr">
        <is>
          <t>HORARIO</t>
        </is>
      </c>
      <c r="S2" s="164" t="inlineStr">
        <is>
          <t>ENTRADA</t>
        </is>
      </c>
      <c r="T2" s="2" t="inlineStr">
        <is>
          <t>SALIDA</t>
        </is>
      </c>
    </row>
    <row r="3">
      <c r="A3" s="1" t="inlineStr">
        <is>
          <t>BOLIVAR  ARIAS</t>
        </is>
      </c>
      <c r="R3" s="165" t="n"/>
      <c r="S3" s="3" t="n">
        <v>0.5</v>
      </c>
      <c r="T3" s="4" t="n">
        <v>0.8333333333333334</v>
      </c>
    </row>
    <row r="5" ht="15.75" customHeight="1" thickBot="1"/>
    <row r="6" ht="12.75" customHeight="1" thickBot="1">
      <c r="A6" s="157" t="inlineStr">
        <is>
          <t>Emp No.</t>
        </is>
      </c>
      <c r="B6" s="157" t="inlineStr">
        <is>
          <t>Fecha</t>
        </is>
      </c>
      <c r="C6" s="157" t="inlineStr">
        <is>
          <t>Entrada</t>
        </is>
      </c>
      <c r="D6" s="157" t="inlineStr">
        <is>
          <t>Salida</t>
        </is>
      </c>
      <c r="E6" s="158" t="inlineStr">
        <is>
          <t>Marco Entrada</t>
        </is>
      </c>
      <c r="F6" s="159" t="inlineStr">
        <is>
          <t>Marco        Salida</t>
        </is>
      </c>
      <c r="G6" s="183" t="inlineStr">
        <is>
          <t>CONTROL ASISTENCIA</t>
        </is>
      </c>
      <c r="H6" s="167" t="n"/>
      <c r="I6" s="167" t="n"/>
      <c r="J6" s="167" t="n"/>
      <c r="K6" s="167" t="n"/>
      <c r="L6" s="168" t="n"/>
      <c r="M6" s="164" t="inlineStr">
        <is>
          <t>Horas nocturnas, suplementarias y extraordinarias</t>
        </is>
      </c>
      <c r="N6" s="169" t="n"/>
      <c r="O6" s="169" t="n"/>
      <c r="P6" s="169" t="n"/>
      <c r="Q6" s="169" t="n"/>
      <c r="R6" s="169" t="n"/>
      <c r="S6" s="169" t="n"/>
      <c r="T6" s="170" t="n"/>
    </row>
    <row r="7" ht="38.25" customHeight="1">
      <c r="A7" s="165" t="n"/>
      <c r="B7" s="165" t="n"/>
      <c r="C7" s="165" t="n"/>
      <c r="D7" s="165" t="n"/>
      <c r="E7" s="165" t="n"/>
      <c r="F7" s="171" t="n"/>
      <c r="G7" s="50" t="inlineStr">
        <is>
          <t>Entrada</t>
        </is>
      </c>
      <c r="H7" s="51" t="inlineStr">
        <is>
          <t>Salida</t>
        </is>
      </c>
      <c r="I7" s="51" t="inlineStr">
        <is>
          <t>TOTAL</t>
        </is>
      </c>
      <c r="J7" s="51" t="inlineStr">
        <is>
          <t>Atraso</t>
        </is>
      </c>
      <c r="K7" s="52" t="inlineStr">
        <is>
          <t>Salida                     Temprano</t>
        </is>
      </c>
      <c r="L7" s="53" t="inlineStr">
        <is>
          <t>TOTAL</t>
        </is>
      </c>
      <c r="M7" s="54" t="inlineStr">
        <is>
          <t>Marco entrada</t>
        </is>
      </c>
      <c r="N7" s="55" t="inlineStr">
        <is>
          <t>Horas               normales</t>
        </is>
      </c>
      <c r="O7" s="55" t="inlineStr">
        <is>
          <t>Hora nocturna salida</t>
        </is>
      </c>
      <c r="P7" s="56" t="inlineStr">
        <is>
          <t xml:space="preserve">Horas Nocturnas </t>
        </is>
      </c>
      <c r="Q7" s="55" t="inlineStr">
        <is>
          <t>Horas Suplement Base</t>
        </is>
      </c>
      <c r="R7" s="55" t="inlineStr">
        <is>
          <t>Horario normal</t>
        </is>
      </c>
      <c r="S7" s="56" t="inlineStr">
        <is>
          <t xml:space="preserve">Horas Suplementarias </t>
        </is>
      </c>
      <c r="T7" s="56" t="inlineStr">
        <is>
          <t xml:space="preserve">Horas Extraordinarias </t>
        </is>
      </c>
      <c r="U7" s="5" t="n"/>
    </row>
    <row r="8">
      <c r="A8" s="6" t="n">
        <v>5</v>
      </c>
      <c r="B8" s="7" t="n">
        <v>42522</v>
      </c>
      <c r="C8" s="8" t="n">
        <v>0.5</v>
      </c>
      <c r="D8" s="8" t="n">
        <v>0.8958333333333334</v>
      </c>
      <c r="E8" s="9" t="n">
        <v>0.5104166666666666</v>
      </c>
      <c r="F8" s="10" t="n">
        <v>0.9041666666666667</v>
      </c>
      <c r="G8" s="11">
        <f>IF(C8-E8&gt;0,+C8-E8,0)</f>
        <v/>
      </c>
      <c r="H8" s="12">
        <f>IF(F8-D8&gt;0,+F8-D8,0)</f>
        <v/>
      </c>
      <c r="I8" s="12">
        <f>SUM(G8:H8)</f>
        <v/>
      </c>
      <c r="J8" s="12">
        <f>IF(C8-E8&lt;0,+(+C8-E8)*-1,0)</f>
        <v/>
      </c>
      <c r="K8" s="12">
        <f>IF(F8-D8&lt;0,+(+F8-D8)*-1,0)</f>
        <v/>
      </c>
      <c r="L8" s="13">
        <f>+J8+K8</f>
        <v/>
      </c>
      <c r="M8" s="14">
        <f>+E8</f>
        <v/>
      </c>
      <c r="N8" s="14" t="n">
        <v>0.3333333333333333</v>
      </c>
      <c r="O8" s="14" t="n">
        <v>0.7916666666666666</v>
      </c>
      <c r="P8" s="60">
        <f>+F8-O8</f>
        <v/>
      </c>
      <c r="Q8" s="15">
        <f>+F8-E8</f>
        <v/>
      </c>
      <c r="R8" s="15" t="n">
        <v>0.3333333333333333</v>
      </c>
      <c r="S8" s="15">
        <f>IF(Q8-R8&gt;0,(Q8-R8),0)</f>
        <v/>
      </c>
      <c r="T8" s="15" t="n"/>
      <c r="U8" s="16" t="n"/>
    </row>
    <row r="9">
      <c r="A9" s="6" t="n">
        <v>5</v>
      </c>
      <c r="B9" s="7" t="n">
        <v>42523</v>
      </c>
      <c r="C9" s="8" t="n">
        <v>0.5</v>
      </c>
      <c r="D9" s="8" t="n">
        <v>0.8958333333333334</v>
      </c>
      <c r="E9" s="9" t="n">
        <v>0.5083333333333333</v>
      </c>
      <c r="F9" s="10" t="n">
        <v>0.8972222222222223</v>
      </c>
      <c r="G9" s="11">
        <f>IF(C9-E9&gt;0,+C9-E9,0)</f>
        <v/>
      </c>
      <c r="H9" s="12">
        <f>IF(F9-D9&gt;0,+F9-D9,0)</f>
        <v/>
      </c>
      <c r="I9" s="12">
        <f>SUM(G9:H9)</f>
        <v/>
      </c>
      <c r="J9" s="12">
        <f>IF(C9-E9&lt;0,+(+C9-E9)*-1,0)</f>
        <v/>
      </c>
      <c r="K9" s="12">
        <f>IF(F9-D9&lt;0,+(+F9-D9)*-1,0)</f>
        <v/>
      </c>
      <c r="L9" s="13">
        <f>+J9+K9</f>
        <v/>
      </c>
      <c r="M9" s="14">
        <f>+E9</f>
        <v/>
      </c>
      <c r="N9" s="14" t="n">
        <v>0.3333333333333333</v>
      </c>
      <c r="O9" s="14" t="n">
        <v>0.7916666666666666</v>
      </c>
      <c r="P9" s="60">
        <f>+F9-O9</f>
        <v/>
      </c>
      <c r="Q9" s="15">
        <f>+F9-E9</f>
        <v/>
      </c>
      <c r="R9" s="15" t="n">
        <v>0</v>
      </c>
      <c r="S9" s="15">
        <f>IF(Q9-R9&gt;0,(Q9-R9),0)</f>
        <v/>
      </c>
      <c r="T9" s="15" t="n"/>
      <c r="U9" s="16" t="n"/>
    </row>
    <row r="10">
      <c r="A10" s="6" t="n">
        <v>5</v>
      </c>
      <c r="B10" s="7" t="n">
        <v>42524</v>
      </c>
      <c r="C10" s="8" t="n">
        <v>0.5</v>
      </c>
      <c r="D10" s="8" t="n">
        <v>0.8958333333333334</v>
      </c>
      <c r="E10" s="9" t="n">
        <v>0.5034722222222222</v>
      </c>
      <c r="F10" s="10" t="n">
        <v>0.8972222222222223</v>
      </c>
      <c r="G10" s="11">
        <f>IF(C10-E10&gt;0,+C10-E10,0)</f>
        <v/>
      </c>
      <c r="H10" s="12">
        <f>IF(F10-D10&gt;0,+F10-D10,0)</f>
        <v/>
      </c>
      <c r="I10" s="12">
        <f>SUM(G10:H10)</f>
        <v/>
      </c>
      <c r="J10" s="12">
        <f>IF(C10-E10&lt;0,+(+C10-E10)*-1,0)</f>
        <v/>
      </c>
      <c r="K10" s="12">
        <f>IF(F10-D10&lt;0,+(+F10-D10)*-1,0)</f>
        <v/>
      </c>
      <c r="L10" s="13">
        <f>+J10+K10</f>
        <v/>
      </c>
      <c r="M10" s="14">
        <f>+E10</f>
        <v/>
      </c>
      <c r="N10" s="14" t="n">
        <v>0.3333333333333333</v>
      </c>
      <c r="O10" s="14" t="n">
        <v>0.7916666666666666</v>
      </c>
      <c r="P10" s="60">
        <f>+F10-O10</f>
        <v/>
      </c>
      <c r="Q10" s="15">
        <f>+F10-E10</f>
        <v/>
      </c>
      <c r="R10" s="15" t="n">
        <v>0.3333333333333333</v>
      </c>
      <c r="S10" s="15">
        <f>IF(Q10-R10&gt;0,(Q10-R10),0)</f>
        <v/>
      </c>
      <c r="T10" s="15" t="n"/>
      <c r="U10" s="16" t="n"/>
    </row>
    <row r="11">
      <c r="A11" s="17" t="n">
        <v>5</v>
      </c>
      <c r="B11" s="18" t="n">
        <v>42525</v>
      </c>
      <c r="C11" s="19" t="n">
        <v>0.5833333333333334</v>
      </c>
      <c r="D11" s="19" t="n">
        <v>0.8333333333333334</v>
      </c>
      <c r="E11" s="20" t="n">
        <v>0.5916666666666667</v>
      </c>
      <c r="F11" s="21" t="n">
        <v>0.8444444444444444</v>
      </c>
      <c r="G11" s="22">
        <f>IF(C11-E11&gt;0,+C11-E11,0)</f>
        <v/>
      </c>
      <c r="H11" s="23">
        <f>IF(F11-D11&gt;0,+F11-D11,0)</f>
        <v/>
      </c>
      <c r="I11" s="23">
        <f>SUM(G11:H11)</f>
        <v/>
      </c>
      <c r="J11" s="23">
        <f>IF(C11-E11&lt;0,+(+C11-E11)*-1,0)</f>
        <v/>
      </c>
      <c r="K11" s="23">
        <f>IF(F11-D11&lt;0,+(+F11-D11)*-1,0)</f>
        <v/>
      </c>
      <c r="L11" s="24">
        <f>+J11+K11</f>
        <v/>
      </c>
      <c r="M11" s="25">
        <f>+E11</f>
        <v/>
      </c>
      <c r="N11" s="25" t="n"/>
      <c r="O11" s="25" t="n"/>
      <c r="P11" s="26" t="n"/>
      <c r="Q11" s="27">
        <f>+F11-E11</f>
        <v/>
      </c>
      <c r="R11" s="27" t="n"/>
      <c r="S11" s="27" t="n"/>
      <c r="T11" s="27">
        <f>+F11-E11</f>
        <v/>
      </c>
      <c r="U11" s="28" t="n"/>
    </row>
    <row r="12">
      <c r="A12" s="6" t="n">
        <v>5</v>
      </c>
      <c r="B12" s="7" t="n">
        <v>42527</v>
      </c>
      <c r="C12" s="8" t="n">
        <v>0.5</v>
      </c>
      <c r="D12" s="8" t="n">
        <v>0.8958333333333334</v>
      </c>
      <c r="E12" s="9" t="n">
        <v>0.5111111111111111</v>
      </c>
      <c r="F12" s="10" t="n">
        <v>0.9006944444444445</v>
      </c>
      <c r="G12" s="11">
        <f>IF(C12-E12&gt;0,+C12-E12,0)</f>
        <v/>
      </c>
      <c r="H12" s="12">
        <f>IF(F12-D12&gt;0,+F12-D12,0)</f>
        <v/>
      </c>
      <c r="I12" s="12">
        <f>SUM(G12:H12)</f>
        <v/>
      </c>
      <c r="J12" s="12">
        <f>IF(C12-E12&lt;0,+(+C12-E12)*-1,0)</f>
        <v/>
      </c>
      <c r="K12" s="12">
        <f>IF(F12-D12&lt;0,+(+F12-D12)*-1,0)</f>
        <v/>
      </c>
      <c r="L12" s="13">
        <f>+J12+K12</f>
        <v/>
      </c>
      <c r="M12" s="14">
        <f>+E12</f>
        <v/>
      </c>
      <c r="N12" s="14" t="n">
        <v>0.3333333333333333</v>
      </c>
      <c r="O12" s="14" t="n">
        <v>0.7916666666666666</v>
      </c>
      <c r="P12" s="60">
        <f>+F12-O12</f>
        <v/>
      </c>
      <c r="Q12" s="15">
        <f>+F12-E12</f>
        <v/>
      </c>
      <c r="R12" s="15" t="n">
        <v>0.3333333333333333</v>
      </c>
      <c r="S12" s="15">
        <f>IF(Q12-R12&gt;0,(Q12-R12),0)</f>
        <v/>
      </c>
      <c r="T12" s="15" t="n"/>
      <c r="U12" s="16" t="n"/>
    </row>
    <row r="13">
      <c r="A13" s="6" t="n">
        <v>5</v>
      </c>
      <c r="B13" s="7" t="n">
        <v>42528</v>
      </c>
      <c r="C13" s="8" t="n">
        <v>0.5</v>
      </c>
      <c r="D13" s="8" t="n">
        <v>0.8958333333333334</v>
      </c>
      <c r="E13" s="9" t="n">
        <v>0.5048611111111111</v>
      </c>
      <c r="F13" s="10" t="n">
        <v>0.9013888888888889</v>
      </c>
      <c r="G13" s="11">
        <f>IF(C13-E13&gt;0,+C13-E13,0)</f>
        <v/>
      </c>
      <c r="H13" s="12">
        <f>IF(F13-D13&gt;0,+F13-D13,0)</f>
        <v/>
      </c>
      <c r="I13" s="12">
        <f>SUM(G13:H13)</f>
        <v/>
      </c>
      <c r="J13" s="12">
        <f>IF(C13-E13&lt;0,+(+C13-E13)*-1,0)</f>
        <v/>
      </c>
      <c r="K13" s="12">
        <f>IF(F13-D13&lt;0,+(+F13-D13)*-1,0)</f>
        <v/>
      </c>
      <c r="L13" s="13">
        <f>+J13+K13</f>
        <v/>
      </c>
      <c r="M13" s="14">
        <f>+E13</f>
        <v/>
      </c>
      <c r="N13" s="14" t="n">
        <v>0.3333333333333333</v>
      </c>
      <c r="O13" s="14" t="n">
        <v>0.7916666666666666</v>
      </c>
      <c r="P13" s="60">
        <f>+F13-O13</f>
        <v/>
      </c>
      <c r="Q13" s="15">
        <f>+F13-E13</f>
        <v/>
      </c>
      <c r="R13" s="15" t="n">
        <v>0.3333333333333333</v>
      </c>
      <c r="S13" s="15">
        <f>IF(Q13-R13&gt;0,(Q13-R13),0)</f>
        <v/>
      </c>
      <c r="T13" s="15" t="n"/>
      <c r="U13" s="16" t="n"/>
    </row>
    <row r="14">
      <c r="A14" s="6" t="n">
        <v>5</v>
      </c>
      <c r="B14" s="7" t="n">
        <v>42529</v>
      </c>
      <c r="C14" s="8" t="n">
        <v>0.5</v>
      </c>
      <c r="D14" s="8" t="n">
        <v>0.8958333333333334</v>
      </c>
      <c r="E14" s="9" t="n">
        <v>0.5006944444444444</v>
      </c>
      <c r="F14" s="10" t="n">
        <v>0.8888888888888888</v>
      </c>
      <c r="G14" s="11">
        <f>IF(C14-E14&gt;0,+C14-E14,0)</f>
        <v/>
      </c>
      <c r="H14" s="12">
        <f>IF(F14-D14&gt;0,+F14-D14,0)</f>
        <v/>
      </c>
      <c r="I14" s="12">
        <f>SUM(G14:H14)</f>
        <v/>
      </c>
      <c r="J14" s="12">
        <f>IF(C14-E14&lt;0,+(+C14-E14)*-1,0)</f>
        <v/>
      </c>
      <c r="K14" s="12">
        <f>IF(F14-D14&lt;0,+(+F14-D14)*-1,0)</f>
        <v/>
      </c>
      <c r="L14" s="13">
        <f>+J14+K14</f>
        <v/>
      </c>
      <c r="M14" s="14">
        <f>+E14</f>
        <v/>
      </c>
      <c r="N14" s="14" t="n">
        <v>0.3333333333333333</v>
      </c>
      <c r="O14" s="14" t="n">
        <v>0.7916666666666666</v>
      </c>
      <c r="P14" s="60">
        <f>+F14-O14</f>
        <v/>
      </c>
      <c r="Q14" s="15">
        <f>+F14-E14</f>
        <v/>
      </c>
      <c r="R14" s="15" t="n">
        <v>0.3333333333333333</v>
      </c>
      <c r="S14" s="15">
        <f>IF(Q14-R14&gt;0,(Q14-R14),0)</f>
        <v/>
      </c>
      <c r="T14" s="15" t="n"/>
      <c r="U14" s="16" t="n"/>
      <c r="V14" s="59" t="n"/>
    </row>
    <row r="15">
      <c r="A15" s="6" t="n">
        <v>5</v>
      </c>
      <c r="B15" s="7" t="n">
        <v>42530</v>
      </c>
      <c r="C15" s="8" t="n">
        <v>0.5</v>
      </c>
      <c r="D15" s="8" t="n">
        <v>0.8958333333333334</v>
      </c>
      <c r="E15" s="9" t="n">
        <v>0.5013888888888889</v>
      </c>
      <c r="F15" s="10" t="n">
        <v>0.8993055555555556</v>
      </c>
      <c r="G15" s="11">
        <f>IF(C15-E15&gt;0,+C15-E15,0)</f>
        <v/>
      </c>
      <c r="H15" s="12">
        <f>IF(F15-D15&gt;0,+F15-D15,0)</f>
        <v/>
      </c>
      <c r="I15" s="12">
        <f>SUM(G15:H15)</f>
        <v/>
      </c>
      <c r="J15" s="12">
        <f>IF(C15-E15&lt;0,+(+C15-E15)*-1,0)</f>
        <v/>
      </c>
      <c r="K15" s="12">
        <f>IF(F15-D15&lt;0,+(+F15-D15)*-1,0)</f>
        <v/>
      </c>
      <c r="L15" s="13">
        <f>+J15+K15</f>
        <v/>
      </c>
      <c r="M15" s="14">
        <f>+E15</f>
        <v/>
      </c>
      <c r="N15" s="14" t="n">
        <v>0.3333333333333333</v>
      </c>
      <c r="O15" s="14" t="n">
        <v>0.7916666666666666</v>
      </c>
      <c r="P15" s="60">
        <f>+F15-O15</f>
        <v/>
      </c>
      <c r="Q15" s="15">
        <f>+F15-E15</f>
        <v/>
      </c>
      <c r="R15" s="15" t="n">
        <v>0.3333333333333333</v>
      </c>
      <c r="S15" s="15">
        <f>IF(Q15-R15&gt;0,(Q15-R15),0)</f>
        <v/>
      </c>
      <c r="T15" s="15" t="n"/>
      <c r="U15" s="16" t="n"/>
    </row>
    <row r="16">
      <c r="A16" s="6" t="n">
        <v>5</v>
      </c>
      <c r="B16" s="7" t="n">
        <v>42531</v>
      </c>
      <c r="C16" s="8" t="n">
        <v>0.5</v>
      </c>
      <c r="D16" s="8" t="n">
        <v>0.8958333333333334</v>
      </c>
      <c r="E16" s="9" t="n">
        <v>0.5069444444444444</v>
      </c>
      <c r="F16" s="10" t="n">
        <v>0.9027777777777778</v>
      </c>
      <c r="G16" s="11">
        <f>IF(C16-E16&gt;0,+C16-E16,0)</f>
        <v/>
      </c>
      <c r="H16" s="12">
        <f>IF(F16-D16&gt;0,+F16-D16,0)</f>
        <v/>
      </c>
      <c r="I16" s="12">
        <f>SUM(G16:H16)</f>
        <v/>
      </c>
      <c r="J16" s="12">
        <f>IF(C16-E16&lt;0,+(+C16-E16)*-1,0)</f>
        <v/>
      </c>
      <c r="K16" s="12">
        <f>IF(F16-D16&lt;0,+(+F16-D16)*-1,0)</f>
        <v/>
      </c>
      <c r="L16" s="13">
        <f>+J16+K16</f>
        <v/>
      </c>
      <c r="M16" s="14">
        <f>+E16</f>
        <v/>
      </c>
      <c r="N16" s="14" t="n">
        <v>0.3333333333333333</v>
      </c>
      <c r="O16" s="14" t="n">
        <v>0.7916666666666666</v>
      </c>
      <c r="P16" s="60">
        <f>+F16-O16</f>
        <v/>
      </c>
      <c r="Q16" s="15">
        <f>+F16-E16</f>
        <v/>
      </c>
      <c r="R16" s="15" t="n">
        <v>0.3333333333333333</v>
      </c>
      <c r="S16" s="15">
        <f>IF(Q16-R16&gt;0,(Q16-R16),0)</f>
        <v/>
      </c>
      <c r="T16" s="15" t="n"/>
      <c r="U16" s="16" t="n"/>
    </row>
    <row r="17">
      <c r="A17" s="17" t="n">
        <v>5</v>
      </c>
      <c r="B17" s="18" t="n">
        <v>42532</v>
      </c>
      <c r="C17" s="19" t="n">
        <v>0.5833333333333334</v>
      </c>
      <c r="D17" s="19" t="n">
        <v>0.8333333333333334</v>
      </c>
      <c r="E17" s="20" t="n">
        <v>0.5881944444444445</v>
      </c>
      <c r="F17" s="21" t="n">
        <v>0.8381944444444445</v>
      </c>
      <c r="G17" s="22">
        <f>IF(C17-E17&gt;0,+C17-E17,0)</f>
        <v/>
      </c>
      <c r="H17" s="23">
        <f>IF(F17-D17&gt;0,+F17-D17,0)</f>
        <v/>
      </c>
      <c r="I17" s="23">
        <f>SUM(G17:H17)</f>
        <v/>
      </c>
      <c r="J17" s="23">
        <f>IF(C17-E17&lt;0,+(+C17-E17)*-1,0)</f>
        <v/>
      </c>
      <c r="K17" s="23">
        <f>IF(F17-D17&lt;0,+(+F17-D17)*-1,0)</f>
        <v/>
      </c>
      <c r="L17" s="24">
        <f>+J17+K17</f>
        <v/>
      </c>
      <c r="M17" s="25">
        <f>+E17</f>
        <v/>
      </c>
      <c r="N17" s="25" t="n"/>
      <c r="O17" s="25" t="n"/>
      <c r="P17" s="26" t="n"/>
      <c r="Q17" s="27">
        <f>+F17-E17</f>
        <v/>
      </c>
      <c r="R17" s="27" t="n"/>
      <c r="S17" s="27" t="n"/>
      <c r="T17" s="27">
        <f>+F17-E17</f>
        <v/>
      </c>
      <c r="U17" s="28" t="n"/>
    </row>
    <row r="18">
      <c r="A18" s="6" t="n">
        <v>5</v>
      </c>
      <c r="B18" s="7" t="n">
        <v>42534</v>
      </c>
      <c r="C18" s="8" t="n">
        <v>0.5</v>
      </c>
      <c r="D18" s="8" t="n">
        <v>0.8958333333333334</v>
      </c>
      <c r="E18" s="9" t="n">
        <v>0.5</v>
      </c>
      <c r="F18" s="10" t="n">
        <v>0.8979166666666667</v>
      </c>
      <c r="G18" s="11">
        <f>IF(C18-E18&gt;0,+C18-E18,0)</f>
        <v/>
      </c>
      <c r="H18" s="12">
        <f>IF(F18-D18&gt;0,+F18-D18,0)</f>
        <v/>
      </c>
      <c r="I18" s="12">
        <f>SUM(G18:H18)</f>
        <v/>
      </c>
      <c r="J18" s="12">
        <f>IF(C18-E18&lt;0,+(+C18-E18)*-1,0)</f>
        <v/>
      </c>
      <c r="K18" s="12">
        <f>IF(F18-D18&lt;0,+(+F18-D18)*-1,0)</f>
        <v/>
      </c>
      <c r="L18" s="13">
        <f>+J18+K18</f>
        <v/>
      </c>
      <c r="M18" s="14">
        <f>+E18</f>
        <v/>
      </c>
      <c r="N18" s="14" t="n">
        <v>0.3333333333333333</v>
      </c>
      <c r="O18" s="14" t="n">
        <v>0.7916666666666666</v>
      </c>
      <c r="P18" s="60">
        <f>+F18-O18</f>
        <v/>
      </c>
      <c r="Q18" s="15">
        <f>+F18-E18</f>
        <v/>
      </c>
      <c r="R18" s="15" t="n">
        <v>0.3333333333333333</v>
      </c>
      <c r="S18" s="15">
        <f>IF(Q18-R18&gt;0,(Q18-R18),0)</f>
        <v/>
      </c>
      <c r="T18" s="15" t="n"/>
      <c r="U18" s="16" t="n"/>
    </row>
    <row r="19">
      <c r="A19" s="6" t="n">
        <v>5</v>
      </c>
      <c r="B19" s="7" t="n">
        <v>42535</v>
      </c>
      <c r="C19" s="8" t="n">
        <v>0.5</v>
      </c>
      <c r="D19" s="8" t="n">
        <v>0.8958333333333334</v>
      </c>
      <c r="E19" s="9" t="n">
        <v>0.5041666666666667</v>
      </c>
      <c r="F19" s="10" t="n">
        <v>0.9048611111111111</v>
      </c>
      <c r="G19" s="11">
        <f>IF(C19-E19&gt;0,+C19-E19,0)</f>
        <v/>
      </c>
      <c r="H19" s="12">
        <f>IF(F19-D19&gt;0,+F19-D19,0)</f>
        <v/>
      </c>
      <c r="I19" s="12">
        <f>SUM(G19:H19)</f>
        <v/>
      </c>
      <c r="J19" s="12">
        <f>IF(C19-E19&lt;0,+(+C19-E19)*-1,0)</f>
        <v/>
      </c>
      <c r="K19" s="12">
        <f>IF(F19-D19&lt;0,+(+F19-D19)*-1,0)</f>
        <v/>
      </c>
      <c r="L19" s="13">
        <f>+J19+K19</f>
        <v/>
      </c>
      <c r="M19" s="14">
        <f>+E19</f>
        <v/>
      </c>
      <c r="N19" s="14" t="n">
        <v>0.3333333333333333</v>
      </c>
      <c r="O19" s="14" t="n">
        <v>0.7916666666666666</v>
      </c>
      <c r="P19" s="60">
        <f>+F19-O19</f>
        <v/>
      </c>
      <c r="Q19" s="15">
        <f>+F19-E19</f>
        <v/>
      </c>
      <c r="R19" s="15" t="n">
        <v>0.3333333333333333</v>
      </c>
      <c r="S19" s="15">
        <f>IF(Q19-R19&gt;0,(Q19-R19),0)</f>
        <v/>
      </c>
      <c r="T19" s="15" t="n"/>
      <c r="U19" s="16" t="n"/>
    </row>
    <row r="20">
      <c r="A20" s="6" t="n">
        <v>5</v>
      </c>
      <c r="B20" s="7" t="n">
        <v>42536</v>
      </c>
      <c r="C20" s="8" t="n">
        <v>0.5</v>
      </c>
      <c r="D20" s="8" t="n">
        <v>0.8958333333333334</v>
      </c>
      <c r="E20" s="9" t="n">
        <v>0.5020833333333333</v>
      </c>
      <c r="F20" s="10" t="n">
        <v>0.9090277777777778</v>
      </c>
      <c r="G20" s="11">
        <f>IF(C20-E20&gt;0,+C20-E20,0)</f>
        <v/>
      </c>
      <c r="H20" s="12">
        <f>IF(F20-D20&gt;0,+F20-D20,0)</f>
        <v/>
      </c>
      <c r="I20" s="12">
        <f>SUM(G20:H20)</f>
        <v/>
      </c>
      <c r="J20" s="12">
        <f>IF(C20-E20&lt;0,+(+C20-E20)*-1,0)</f>
        <v/>
      </c>
      <c r="K20" s="12">
        <f>IF(F20-D20&lt;0,+(+F20-D20)*-1,0)</f>
        <v/>
      </c>
      <c r="L20" s="13">
        <f>+J20+K20</f>
        <v/>
      </c>
      <c r="M20" s="14">
        <f>+E20</f>
        <v/>
      </c>
      <c r="N20" s="14" t="n">
        <v>0.3333333333333333</v>
      </c>
      <c r="O20" s="14" t="n">
        <v>0.7916666666666666</v>
      </c>
      <c r="P20" s="60">
        <f>+F20-O20</f>
        <v/>
      </c>
      <c r="Q20" s="15">
        <f>+F20-E20</f>
        <v/>
      </c>
      <c r="R20" s="15" t="n">
        <v>0.3333333333333333</v>
      </c>
      <c r="S20" s="15">
        <f>IF(Q20-R20&gt;0,(Q20-R20),0)</f>
        <v/>
      </c>
      <c r="T20" s="15" t="n"/>
      <c r="U20" s="16" t="n"/>
    </row>
    <row r="21">
      <c r="A21" s="6" t="n">
        <v>5</v>
      </c>
      <c r="B21" s="7" t="n">
        <v>42537</v>
      </c>
      <c r="C21" s="8" t="n">
        <v>0.5</v>
      </c>
      <c r="D21" s="8" t="n">
        <v>0.8958333333333334</v>
      </c>
      <c r="E21" s="9" t="n">
        <v>0.4881944444444444</v>
      </c>
      <c r="F21" s="10" t="n">
        <v>0.8972222222222223</v>
      </c>
      <c r="G21" s="11">
        <f>IF(C21-E21&gt;0,+C21-E21,0)</f>
        <v/>
      </c>
      <c r="H21" s="12">
        <f>IF(F21-D21&gt;0,+F21-D21,0)</f>
        <v/>
      </c>
      <c r="I21" s="12">
        <f>SUM(G21:H21)</f>
        <v/>
      </c>
      <c r="J21" s="12">
        <f>IF(C21-E21&lt;0,+(+C21-E21)*-1,0)</f>
        <v/>
      </c>
      <c r="K21" s="12">
        <f>IF(F21-D21&lt;0,+(+F21-D21)*-1,0)</f>
        <v/>
      </c>
      <c r="L21" s="13">
        <f>+J21+K21</f>
        <v/>
      </c>
      <c r="M21" s="14">
        <f>+E21</f>
        <v/>
      </c>
      <c r="N21" s="14" t="n">
        <v>0.3333333333333333</v>
      </c>
      <c r="O21" s="14" t="n">
        <v>0.7916666666666666</v>
      </c>
      <c r="P21" s="60">
        <f>+F21-O21</f>
        <v/>
      </c>
      <c r="Q21" s="15">
        <f>+F21-E21</f>
        <v/>
      </c>
      <c r="R21" s="15" t="n">
        <v>0.3333333333333333</v>
      </c>
      <c r="S21" s="15">
        <f>IF(Q21-R21&gt;0,(Q21-R21),0)</f>
        <v/>
      </c>
      <c r="T21" s="15" t="n"/>
      <c r="U21" s="16" t="n"/>
    </row>
    <row r="22">
      <c r="A22" s="6" t="n">
        <v>5</v>
      </c>
      <c r="B22" s="7" t="n">
        <v>42538</v>
      </c>
      <c r="C22" s="8" t="n">
        <v>0.5</v>
      </c>
      <c r="D22" s="8" t="n">
        <v>0.8958333333333334</v>
      </c>
      <c r="E22" s="9" t="n">
        <v>0.5013888888888889</v>
      </c>
      <c r="F22" s="10" t="n">
        <v>0.8993055555555556</v>
      </c>
      <c r="G22" s="11">
        <f>IF(C22-E22&gt;0,+C22-E22,0)</f>
        <v/>
      </c>
      <c r="H22" s="12">
        <f>IF(F22-D22&gt;0,+F22-D22,0)</f>
        <v/>
      </c>
      <c r="I22" s="12">
        <f>SUM(G22:H22)</f>
        <v/>
      </c>
      <c r="J22" s="12">
        <f>IF(C22-E22&lt;0,+(+C22-E22)*-1,0)</f>
        <v/>
      </c>
      <c r="K22" s="12">
        <f>IF(F22-D22&lt;0,+(+F22-D22)*-1,0)</f>
        <v/>
      </c>
      <c r="L22" s="13">
        <f>+J22+K22</f>
        <v/>
      </c>
      <c r="M22" s="14">
        <f>+E22</f>
        <v/>
      </c>
      <c r="N22" s="14" t="n">
        <v>0.3333333333333333</v>
      </c>
      <c r="O22" s="14" t="n">
        <v>0.7916666666666666</v>
      </c>
      <c r="P22" s="60">
        <f>+F22-O22</f>
        <v/>
      </c>
      <c r="Q22" s="15">
        <f>+F22-E22</f>
        <v/>
      </c>
      <c r="R22" s="15" t="n">
        <v>0.3333333333333333</v>
      </c>
      <c r="S22" s="15">
        <f>IF(Q22-R22&gt;0,(Q22-R22),0)</f>
        <v/>
      </c>
      <c r="T22" s="15" t="n"/>
      <c r="U22" s="16" t="n"/>
    </row>
    <row r="23">
      <c r="A23" s="17" t="n">
        <v>5</v>
      </c>
      <c r="B23" s="18" t="n">
        <v>42539</v>
      </c>
      <c r="C23" s="19" t="n">
        <v>0.5833333333333334</v>
      </c>
      <c r="D23" s="19" t="n">
        <v>0.8333333333333334</v>
      </c>
      <c r="E23" s="20" t="n">
        <v>0.5770833333333333</v>
      </c>
      <c r="F23" s="21" t="n">
        <v>0.8340277777777778</v>
      </c>
      <c r="G23" s="22">
        <f>IF(C23-E23&gt;0,+C23-E23,0)</f>
        <v/>
      </c>
      <c r="H23" s="23">
        <f>IF(F23-D23&gt;0,+F23-D23,0)</f>
        <v/>
      </c>
      <c r="I23" s="23">
        <f>SUM(G23:H23)</f>
        <v/>
      </c>
      <c r="J23" s="23">
        <f>IF(C23-E23&lt;0,+(+C23-E23)*-1,0)</f>
        <v/>
      </c>
      <c r="K23" s="23">
        <f>IF(F23-D23&lt;0,+(+F23-D23)*-1,0)</f>
        <v/>
      </c>
      <c r="L23" s="24">
        <f>+J23+K23</f>
        <v/>
      </c>
      <c r="M23" s="25">
        <f>+E23</f>
        <v/>
      </c>
      <c r="N23" s="25" t="n"/>
      <c r="O23" s="25" t="n"/>
      <c r="P23" s="26" t="n"/>
      <c r="Q23" s="27">
        <f>+F23-E23</f>
        <v/>
      </c>
      <c r="R23" s="27" t="n"/>
      <c r="S23" s="27" t="n"/>
      <c r="T23" s="27">
        <f>+F23-E23</f>
        <v/>
      </c>
      <c r="U23" s="28" t="n"/>
    </row>
    <row r="24">
      <c r="A24" s="6" t="n">
        <v>5</v>
      </c>
      <c r="B24" s="7" t="n">
        <v>42541</v>
      </c>
      <c r="C24" s="8" t="n">
        <v>0.5</v>
      </c>
      <c r="D24" s="8" t="n">
        <v>0.8958333333333334</v>
      </c>
      <c r="E24" s="9" t="n">
        <v>0.5013888888888889</v>
      </c>
      <c r="F24" s="10" t="n">
        <v>0.8993055555555556</v>
      </c>
      <c r="G24" s="11">
        <f>IF(C24-E24&gt;0,+C24-E24,0)</f>
        <v/>
      </c>
      <c r="H24" s="12">
        <f>IF(F24-D24&gt;0,+F24-D24,0)</f>
        <v/>
      </c>
      <c r="I24" s="12">
        <f>SUM(G24:H24)</f>
        <v/>
      </c>
      <c r="J24" s="12">
        <f>IF(C24-E24&lt;0,+(+C24-E24)*-1,0)</f>
        <v/>
      </c>
      <c r="K24" s="12">
        <f>IF(F24-D24&lt;0,+(+F24-D24)*-1,0)</f>
        <v/>
      </c>
      <c r="L24" s="13">
        <f>+J24+K24</f>
        <v/>
      </c>
      <c r="M24" s="14">
        <f>+E24</f>
        <v/>
      </c>
      <c r="N24" s="14" t="n">
        <v>0.3333333333333333</v>
      </c>
      <c r="O24" s="14" t="n">
        <v>0.7916666666666666</v>
      </c>
      <c r="P24" s="60">
        <f>+F24-O24</f>
        <v/>
      </c>
      <c r="Q24" s="15">
        <f>+F24-E24</f>
        <v/>
      </c>
      <c r="R24" s="15" t="n">
        <v>0.3333333333333333</v>
      </c>
      <c r="S24" s="15">
        <f>IF(Q24-R24&gt;0,(Q24-R24),0)</f>
        <v/>
      </c>
      <c r="T24" s="15" t="n"/>
      <c r="U24" s="16" t="n"/>
    </row>
    <row r="25">
      <c r="A25" s="6" t="n">
        <v>5</v>
      </c>
      <c r="B25" s="7" t="n">
        <v>42542</v>
      </c>
      <c r="C25" s="8" t="n">
        <v>0.5</v>
      </c>
      <c r="D25" s="8" t="n">
        <v>0.8958333333333334</v>
      </c>
      <c r="E25" s="9" t="n">
        <v>0.5083333333333333</v>
      </c>
      <c r="F25" s="10" t="n">
        <v>0.9048611111111111</v>
      </c>
      <c r="G25" s="11">
        <f>IF(C25-E25&gt;0,+C25-E25,0)</f>
        <v/>
      </c>
      <c r="H25" s="12">
        <f>IF(F25-D25&gt;0,+F25-D25,0)</f>
        <v/>
      </c>
      <c r="I25" s="12">
        <f>SUM(G25:H25)</f>
        <v/>
      </c>
      <c r="J25" s="12">
        <f>IF(C25-E25&lt;0,+(+C25-E25)*-1,0)</f>
        <v/>
      </c>
      <c r="K25" s="12">
        <f>IF(F25-D25&lt;0,+(+F25-D25)*-1,0)</f>
        <v/>
      </c>
      <c r="L25" s="13">
        <f>+J25+K25</f>
        <v/>
      </c>
      <c r="M25" s="14">
        <f>+E25</f>
        <v/>
      </c>
      <c r="N25" s="14" t="n">
        <v>0.3333333333333333</v>
      </c>
      <c r="O25" s="14" t="n">
        <v>0.7916666666666666</v>
      </c>
      <c r="P25" s="60">
        <f>+F25-O25</f>
        <v/>
      </c>
      <c r="Q25" s="15">
        <f>+F25-E25</f>
        <v/>
      </c>
      <c r="R25" s="15" t="n">
        <v>0.3333333333333333</v>
      </c>
      <c r="S25" s="15">
        <f>IF(Q25-R25&gt;0,(Q25-R25),0)</f>
        <v/>
      </c>
      <c r="T25" s="15" t="n"/>
      <c r="U25" s="16" t="n"/>
    </row>
    <row r="26">
      <c r="A26" s="6" t="n">
        <v>5</v>
      </c>
      <c r="B26" s="7" t="n">
        <v>42543</v>
      </c>
      <c r="C26" s="8" t="n">
        <v>0.5</v>
      </c>
      <c r="D26" s="8" t="n">
        <v>0.8958333333333334</v>
      </c>
      <c r="E26" s="9" t="n">
        <v>0.5069444444444444</v>
      </c>
      <c r="F26" s="10" t="n">
        <v>0.9034722222222222</v>
      </c>
      <c r="G26" s="11">
        <f>IF(C26-E26&gt;0,+C26-E26,0)</f>
        <v/>
      </c>
      <c r="H26" s="12">
        <f>IF(F26-D26&gt;0,+F26-D26,0)</f>
        <v/>
      </c>
      <c r="I26" s="12">
        <f>SUM(G26:H26)</f>
        <v/>
      </c>
      <c r="J26" s="12">
        <f>IF(C26-E26&lt;0,+(+C26-E26)*-1,0)</f>
        <v/>
      </c>
      <c r="K26" s="12">
        <f>IF(F26-D26&lt;0,+(+F26-D26)*-1,0)</f>
        <v/>
      </c>
      <c r="L26" s="13">
        <f>+J26+K26</f>
        <v/>
      </c>
      <c r="M26" s="14">
        <f>+E26</f>
        <v/>
      </c>
      <c r="N26" s="14" t="n">
        <v>0.3333333333333333</v>
      </c>
      <c r="O26" s="14" t="n">
        <v>0.7916666666666666</v>
      </c>
      <c r="P26" s="60">
        <f>+F26-O26</f>
        <v/>
      </c>
      <c r="Q26" s="15">
        <f>+F26-E26</f>
        <v/>
      </c>
      <c r="R26" s="15" t="n">
        <v>0.3333333333333333</v>
      </c>
      <c r="S26" s="15">
        <f>IF(Q26-R26&gt;0,(Q26-R26),0)</f>
        <v/>
      </c>
      <c r="T26" s="15" t="n"/>
      <c r="U26" s="16" t="n"/>
    </row>
    <row r="27">
      <c r="A27" s="6" t="n">
        <v>5</v>
      </c>
      <c r="B27" s="7" t="n">
        <v>42544</v>
      </c>
      <c r="C27" s="8" t="n">
        <v>0.5</v>
      </c>
      <c r="D27" s="8" t="n">
        <v>0.8958333333333334</v>
      </c>
      <c r="E27" s="9" t="n">
        <v>0.5041666666666667</v>
      </c>
      <c r="F27" s="10" t="n">
        <v>0.8958333333333334</v>
      </c>
      <c r="G27" s="11">
        <f>IF(C27-E27&gt;0,+C27-E27,0)</f>
        <v/>
      </c>
      <c r="H27" s="12">
        <f>IF(F27-D27&gt;0,+F27-D27,0)</f>
        <v/>
      </c>
      <c r="I27" s="12">
        <f>SUM(G27:H27)</f>
        <v/>
      </c>
      <c r="J27" s="12">
        <f>IF(C27-E27&lt;0,+(+C27-E27)*-1,0)</f>
        <v/>
      </c>
      <c r="K27" s="12">
        <f>IF(F27-D27&lt;0,+(+F27-D27)*-1,0)</f>
        <v/>
      </c>
      <c r="L27" s="13">
        <f>+J27+K27</f>
        <v/>
      </c>
      <c r="M27" s="14">
        <f>+E27</f>
        <v/>
      </c>
      <c r="N27" s="14" t="n">
        <v>0.3333333333333333</v>
      </c>
      <c r="O27" s="14" t="n">
        <v>0.7916666666666666</v>
      </c>
      <c r="P27" s="60">
        <f>+F27-O27</f>
        <v/>
      </c>
      <c r="Q27" s="15">
        <f>+F27-E27</f>
        <v/>
      </c>
      <c r="R27" s="15" t="n">
        <v>0.3333333333333333</v>
      </c>
      <c r="S27" s="15">
        <f>IF(Q27-R27&gt;0,(Q27-R27),0)</f>
        <v/>
      </c>
      <c r="T27" s="15" t="n"/>
      <c r="U27" s="16" t="n"/>
    </row>
    <row r="28">
      <c r="A28" s="6" t="n">
        <v>5</v>
      </c>
      <c r="B28" s="7" t="n">
        <v>42545</v>
      </c>
      <c r="C28" s="8" t="n">
        <v>0.5</v>
      </c>
      <c r="D28" s="8" t="n">
        <v>0.8958333333333334</v>
      </c>
      <c r="E28" s="9" t="n">
        <v>0.4993055555555556</v>
      </c>
      <c r="F28" s="10" t="n">
        <v>0.8986111111111111</v>
      </c>
      <c r="G28" s="11">
        <f>IF(C28-E28&gt;0,+C28-E28,0)</f>
        <v/>
      </c>
      <c r="H28" s="12">
        <f>IF(F28-D28&gt;0,+F28-D28,0)</f>
        <v/>
      </c>
      <c r="I28" s="12">
        <f>SUM(G28:H28)</f>
        <v/>
      </c>
      <c r="J28" s="12">
        <f>IF(C28-E28&lt;0,+(+C28-E28)*-1,0)</f>
        <v/>
      </c>
      <c r="K28" s="12">
        <f>IF(F28-D28&lt;0,+(+F28-D28)*-1,0)</f>
        <v/>
      </c>
      <c r="L28" s="13">
        <f>+J28+K28</f>
        <v/>
      </c>
      <c r="M28" s="14">
        <f>+E28</f>
        <v/>
      </c>
      <c r="N28" s="14" t="n">
        <v>0.3333333333333333</v>
      </c>
      <c r="O28" s="14" t="n">
        <v>0.7916666666666666</v>
      </c>
      <c r="P28" s="60">
        <f>+F28-O28</f>
        <v/>
      </c>
      <c r="Q28" s="15">
        <f>+F28-E28</f>
        <v/>
      </c>
      <c r="R28" s="15" t="n">
        <v>0.3333333333333333</v>
      </c>
      <c r="S28" s="15">
        <f>IF(Q28-R28&gt;0,(Q28-R28),0)</f>
        <v/>
      </c>
      <c r="T28" s="15" t="n"/>
      <c r="U28" s="16" t="n"/>
    </row>
    <row r="29">
      <c r="A29" s="17" t="n">
        <v>5</v>
      </c>
      <c r="B29" s="18" t="n">
        <v>42546</v>
      </c>
      <c r="C29" s="19" t="n">
        <v>0.5833333333333334</v>
      </c>
      <c r="D29" s="19" t="n">
        <v>0.8333333333333334</v>
      </c>
      <c r="E29" s="20" t="n">
        <v>0.5840277777777778</v>
      </c>
      <c r="F29" s="21" t="n">
        <v>0.8402777777777778</v>
      </c>
      <c r="G29" s="22">
        <f>IF(C29-E29&gt;0,+C29-E29,0)</f>
        <v/>
      </c>
      <c r="H29" s="23">
        <f>IF(F29-D29&gt;0,+F29-D29,0)</f>
        <v/>
      </c>
      <c r="I29" s="23">
        <f>SUM(G29:H29)</f>
        <v/>
      </c>
      <c r="J29" s="23">
        <f>IF(C29-E29&lt;0,+(+C29-E29)*-1,0)</f>
        <v/>
      </c>
      <c r="K29" s="23">
        <f>IF(F29-D29&lt;0,+(+F29-D29)*-1,0)</f>
        <v/>
      </c>
      <c r="L29" s="24">
        <f>+J29+K29</f>
        <v/>
      </c>
      <c r="M29" s="25">
        <f>+E29</f>
        <v/>
      </c>
      <c r="N29" s="25" t="n"/>
      <c r="O29" s="25" t="n"/>
      <c r="P29" s="26" t="n"/>
      <c r="Q29" s="27">
        <f>+F29-E29</f>
        <v/>
      </c>
      <c r="R29" s="27" t="n"/>
      <c r="S29" s="27" t="n"/>
      <c r="T29" s="27">
        <f>+F29-E29</f>
        <v/>
      </c>
      <c r="U29" s="28" t="n"/>
    </row>
    <row r="30">
      <c r="A30" s="6" t="n">
        <v>5</v>
      </c>
      <c r="B30" s="7" t="n">
        <v>42548</v>
      </c>
      <c r="C30" s="8" t="n">
        <v>0.5</v>
      </c>
      <c r="D30" s="8" t="n">
        <v>0.8958333333333334</v>
      </c>
      <c r="E30" s="9" t="n">
        <v>0.5055555555555555</v>
      </c>
      <c r="F30" s="10" t="n">
        <v>0.89375</v>
      </c>
      <c r="G30" s="11">
        <f>IF(C30-E30&gt;0,+C30-E30,0)</f>
        <v/>
      </c>
      <c r="H30" s="12">
        <f>IF(F30-D30&gt;0,+F30-D30,0)</f>
        <v/>
      </c>
      <c r="I30" s="12">
        <f>SUM(G30:H30)</f>
        <v/>
      </c>
      <c r="J30" s="12">
        <f>IF(C30-E30&lt;0,+(+C30-E30)*-1,0)</f>
        <v/>
      </c>
      <c r="K30" s="12">
        <f>IF(F30-D30&lt;0,+(+F30-D30)*-1,0)</f>
        <v/>
      </c>
      <c r="L30" s="13">
        <f>+J30+K30</f>
        <v/>
      </c>
      <c r="M30" s="14">
        <f>+E30</f>
        <v/>
      </c>
      <c r="N30" s="14" t="n">
        <v>0.3333333333333333</v>
      </c>
      <c r="O30" s="14" t="n">
        <v>0.7916666666666666</v>
      </c>
      <c r="P30" s="60">
        <f>+F30-O30</f>
        <v/>
      </c>
      <c r="Q30" s="15">
        <f>+F30-E30</f>
        <v/>
      </c>
      <c r="R30" s="15" t="n">
        <v>0.3333333333333333</v>
      </c>
      <c r="S30" s="15">
        <f>IF(Q30-R30&gt;0,(Q30-R30),0)</f>
        <v/>
      </c>
      <c r="T30" s="15" t="n"/>
      <c r="U30" s="16" t="n"/>
    </row>
    <row r="31">
      <c r="A31" s="6" t="n">
        <v>5</v>
      </c>
      <c r="B31" s="7" t="n">
        <v>42549</v>
      </c>
      <c r="C31" s="8" t="n">
        <v>0.5</v>
      </c>
      <c r="D31" s="8" t="n">
        <v>0.8958333333333334</v>
      </c>
      <c r="E31" s="9" t="n">
        <v>0.5055555555555555</v>
      </c>
      <c r="F31" s="10" t="n">
        <v>0.9006944444444445</v>
      </c>
      <c r="G31" s="11">
        <f>IF(C31-E31&gt;0,+C31-E31,0)</f>
        <v/>
      </c>
      <c r="H31" s="12">
        <f>IF(F31-D31&gt;0,+F31-D31,0)</f>
        <v/>
      </c>
      <c r="I31" s="12">
        <f>SUM(G31:H31)</f>
        <v/>
      </c>
      <c r="J31" s="12">
        <f>IF(C31-E31&lt;0,+(+C31-E31)*-1,0)</f>
        <v/>
      </c>
      <c r="K31" s="12">
        <f>IF(F31-D31&lt;0,+(+F31-D31)*-1,0)</f>
        <v/>
      </c>
      <c r="L31" s="13">
        <f>+J31+K31</f>
        <v/>
      </c>
      <c r="M31" s="14">
        <f>+E31</f>
        <v/>
      </c>
      <c r="N31" s="14" t="n">
        <v>0.3333333333333333</v>
      </c>
      <c r="O31" s="14" t="n">
        <v>0.7916666666666666</v>
      </c>
      <c r="P31" s="60">
        <f>+F31-O31</f>
        <v/>
      </c>
      <c r="Q31" s="15">
        <f>+F31-E31</f>
        <v/>
      </c>
      <c r="R31" s="15" t="n">
        <v>0.3333333333333333</v>
      </c>
      <c r="S31" s="15">
        <f>IF(Q31-R31&gt;0,(Q31-R31),0)</f>
        <v/>
      </c>
      <c r="T31" s="15" t="n"/>
      <c r="U31" s="16" t="n"/>
    </row>
    <row r="32">
      <c r="A32" s="6" t="n">
        <v>5</v>
      </c>
      <c r="B32" s="7" t="n">
        <v>42550</v>
      </c>
      <c r="C32" s="8" t="n">
        <v>0.5</v>
      </c>
      <c r="D32" s="8" t="n">
        <v>0.8958333333333334</v>
      </c>
      <c r="E32" s="9" t="n">
        <v>0.5006944444444444</v>
      </c>
      <c r="F32" s="10" t="n">
        <v>0.8972222222222223</v>
      </c>
      <c r="G32" s="11">
        <f>IF(C32-E32&gt;0,+C32-E32,0)</f>
        <v/>
      </c>
      <c r="H32" s="12">
        <f>IF(F32-D32&gt;0,+F32-D32,0)</f>
        <v/>
      </c>
      <c r="I32" s="12">
        <f>SUM(G32:H32)</f>
        <v/>
      </c>
      <c r="J32" s="12">
        <f>IF(C32-E32&lt;0,+(+C32-E32)*-1,0)</f>
        <v/>
      </c>
      <c r="K32" s="12">
        <f>IF(F32-D32&lt;0,+(+F32-D32)*-1,0)</f>
        <v/>
      </c>
      <c r="L32" s="13">
        <f>+J32+K32</f>
        <v/>
      </c>
      <c r="M32" s="14">
        <f>+E32</f>
        <v/>
      </c>
      <c r="N32" s="14" t="n">
        <v>0.3333333333333333</v>
      </c>
      <c r="O32" s="14" t="n">
        <v>0.7916666666666666</v>
      </c>
      <c r="P32" s="60">
        <f>+F32-O32</f>
        <v/>
      </c>
      <c r="Q32" s="15">
        <f>+F32-E32</f>
        <v/>
      </c>
      <c r="R32" s="15" t="n">
        <v>0.3333333333333333</v>
      </c>
      <c r="S32" s="15">
        <f>IF(Q32-R32&gt;0,(Q32-R32),0)</f>
        <v/>
      </c>
      <c r="T32" s="15" t="n"/>
      <c r="U32" s="16" t="n"/>
    </row>
    <row r="33">
      <c r="A33" s="6" t="n">
        <v>5</v>
      </c>
      <c r="B33" s="7" t="n">
        <v>42551</v>
      </c>
      <c r="C33" s="8" t="n">
        <v>0.5</v>
      </c>
      <c r="D33" s="8" t="n">
        <v>0.8958333333333334</v>
      </c>
      <c r="E33" s="9" t="n">
        <v>0.5020833333333333</v>
      </c>
      <c r="F33" s="10" t="n">
        <v>0.8958333333333334</v>
      </c>
      <c r="G33" s="11">
        <f>IF(C33-E33&gt;0,+C33-E33,0)</f>
        <v/>
      </c>
      <c r="H33" s="12">
        <f>IF(F33-D33&gt;0,+F33-D33,0)</f>
        <v/>
      </c>
      <c r="I33" s="12">
        <f>SUM(G33:H33)</f>
        <v/>
      </c>
      <c r="J33" s="12">
        <f>IF(C33-E33&lt;0,+(+C33-E33)*-1,0)</f>
        <v/>
      </c>
      <c r="K33" s="12">
        <f>IF(F33-D33&lt;0,+(+F33-D33)*-1,0)</f>
        <v/>
      </c>
      <c r="L33" s="13">
        <f>+J33+K33</f>
        <v/>
      </c>
      <c r="M33" s="14">
        <f>+E33</f>
        <v/>
      </c>
      <c r="N33" s="14" t="n">
        <v>0.3333333333333333</v>
      </c>
      <c r="O33" s="14" t="n">
        <v>0.7916666666666666</v>
      </c>
      <c r="P33" s="60">
        <f>+F33-O33</f>
        <v/>
      </c>
      <c r="Q33" s="15">
        <f>+F33-E33</f>
        <v/>
      </c>
      <c r="R33" s="15" t="n">
        <v>0.3333333333333333</v>
      </c>
      <c r="S33" s="15">
        <f>IF(Q33-R33&gt;0,(Q33-R33),0)</f>
        <v/>
      </c>
      <c r="T33" s="15" t="n"/>
      <c r="U33" s="16" t="n"/>
    </row>
    <row r="34">
      <c r="P34" s="29">
        <f>SUM(P8:P33)</f>
        <v/>
      </c>
      <c r="S34" s="29">
        <f>SUM(S8:S33)</f>
        <v/>
      </c>
      <c r="T34" s="29">
        <f>SUM(T8:T33)</f>
        <v/>
      </c>
    </row>
    <row r="35" ht="13.5" customHeight="1" thickBot="1">
      <c r="A35" s="30" t="n"/>
    </row>
    <row r="36" ht="45" customHeight="1">
      <c r="G36" s="153" t="inlineStr">
        <is>
          <t>Tipo horas</t>
        </is>
      </c>
      <c r="H36" s="170" t="n"/>
      <c r="I36" s="31" t="inlineStr">
        <is>
          <t>No horas</t>
        </is>
      </c>
      <c r="J36" s="31" t="inlineStr">
        <is>
          <t>No. minutos</t>
        </is>
      </c>
      <c r="K36" s="32" t="inlineStr">
        <is>
          <t>Valor x  hora  US$</t>
        </is>
      </c>
      <c r="L36" s="31" t="inlineStr">
        <is>
          <t xml:space="preserve"> Recargo</t>
        </is>
      </c>
      <c r="M36" s="33" t="inlineStr">
        <is>
          <t>Valor x  hora con recargo                     US$</t>
        </is>
      </c>
      <c r="N36" s="34" t="inlineStr">
        <is>
          <t>Valor        horas          US$</t>
        </is>
      </c>
      <c r="O36" s="35" t="inlineStr">
        <is>
          <t>Valor          minutos               US$</t>
        </is>
      </c>
      <c r="P36" s="36" t="inlineStr">
        <is>
          <t>Valor total US$</t>
        </is>
      </c>
    </row>
    <row r="37">
      <c r="A37" s="37" t="n"/>
      <c r="G37" s="38" t="inlineStr">
        <is>
          <t>Horas nocturnas</t>
        </is>
      </c>
      <c r="H37" s="38" t="n"/>
      <c r="I37" s="39" t="n">
        <v>56</v>
      </c>
      <c r="J37" s="39" t="n">
        <v>57</v>
      </c>
      <c r="K37" s="40" t="n">
        <v>1.565</v>
      </c>
      <c r="L37" s="184" t="n">
        <v>0.25</v>
      </c>
      <c r="M37" s="185">
        <f>+K37*L37</f>
        <v/>
      </c>
      <c r="N37" s="43">
        <f>+I37*M37</f>
        <v/>
      </c>
      <c r="O37" s="39">
        <f>(+M37/60)*J37</f>
        <v/>
      </c>
      <c r="P37" s="44">
        <f>+N37+O37</f>
        <v/>
      </c>
    </row>
    <row r="38">
      <c r="A38" s="30" t="n"/>
      <c r="G38" s="38" t="inlineStr">
        <is>
          <t>Horas suplemenarias</t>
        </is>
      </c>
      <c r="H38" s="38" t="n"/>
      <c r="I38" s="39" t="n">
        <v>41</v>
      </c>
      <c r="J38" s="39" t="n">
        <v>6</v>
      </c>
      <c r="K38" s="40" t="n">
        <v>1.565</v>
      </c>
      <c r="L38" s="184" t="n">
        <v>1.5</v>
      </c>
      <c r="M38" s="185">
        <f>+K38*L38</f>
        <v/>
      </c>
      <c r="N38" s="43">
        <f>+I38*M38</f>
        <v/>
      </c>
      <c r="O38" s="39">
        <f>(+M38/60)*J38</f>
        <v/>
      </c>
      <c r="P38" s="44">
        <f>+N38+O38</f>
        <v/>
      </c>
    </row>
    <row r="39">
      <c r="A39" s="30" t="n"/>
      <c r="G39" s="38" t="inlineStr">
        <is>
          <t>Horas extraordinarias</t>
        </is>
      </c>
      <c r="H39" s="38" t="n"/>
      <c r="I39" s="39" t="n">
        <v>24</v>
      </c>
      <c r="J39" s="39" t="n">
        <v>23</v>
      </c>
      <c r="K39" s="40" t="n">
        <v>1.565</v>
      </c>
      <c r="L39" s="184" t="n">
        <v>2</v>
      </c>
      <c r="M39" s="185">
        <f>+K39*L39</f>
        <v/>
      </c>
      <c r="N39" s="43">
        <f>+I39*M39</f>
        <v/>
      </c>
      <c r="O39" s="39">
        <f>(+M39/60)*J39</f>
        <v/>
      </c>
      <c r="P39" s="44">
        <f>+N39+O39</f>
        <v/>
      </c>
      <c r="R39" s="45" t="n"/>
      <c r="S39" s="45" t="n"/>
    </row>
    <row r="40" ht="13.5" customHeight="1" thickBot="1">
      <c r="G40" s="46" t="n"/>
      <c r="H40" s="46" t="n"/>
      <c r="I40" s="46" t="n"/>
      <c r="J40" s="46" t="n"/>
      <c r="K40" s="46" t="n"/>
      <c r="L40" s="38" t="inlineStr">
        <is>
          <t>Total</t>
        </is>
      </c>
      <c r="M40" s="47" t="n"/>
      <c r="N40" s="48">
        <f>SUM(N37:N39)</f>
        <v/>
      </c>
      <c r="O40" s="48">
        <f>SUM(O37:O39)</f>
        <v/>
      </c>
      <c r="P40" s="49">
        <f>SUM(P37:P39)</f>
        <v/>
      </c>
      <c r="R40" s="154" t="inlineStr">
        <is>
          <t>FIRMA CONFORME</t>
        </is>
      </c>
      <c r="S40" s="181" t="n"/>
    </row>
    <row r="42">
      <c r="A42" s="28" t="n"/>
    </row>
    <row r="43">
      <c r="V43" s="58" t="n"/>
    </row>
    <row r="46">
      <c r="H46" s="1" t="n">
        <v>181.35</v>
      </c>
      <c r="I46" s="1" t="inlineStr">
        <is>
          <t>PAGADO</t>
        </is>
      </c>
    </row>
    <row r="47">
      <c r="H47" s="1" t="n">
        <v>195.08</v>
      </c>
      <c r="I47" s="1" t="inlineStr">
        <is>
          <t>CORREGIDO</t>
        </is>
      </c>
    </row>
    <row r="48">
      <c r="H48" s="61">
        <f>+H47-H46</f>
        <v/>
      </c>
      <c r="I48" s="1" t="inlineStr">
        <is>
          <t>POR PAGAR</t>
        </is>
      </c>
    </row>
  </sheetData>
  <mergeCells count="11">
    <mergeCell ref="R40:S40"/>
    <mergeCell ref="M6:T6"/>
    <mergeCell ref="G6:L6"/>
    <mergeCell ref="G36:H36"/>
    <mergeCell ref="E6:E7"/>
    <mergeCell ref="C6:C7"/>
    <mergeCell ref="A6:A7"/>
    <mergeCell ref="F6:F7"/>
    <mergeCell ref="D6:D7"/>
    <mergeCell ref="B6:B7"/>
    <mergeCell ref="R2:R3"/>
  </mergeCells>
  <pageMargins left="0.7086614173228347" right="0.7086614173228347" top="0.7480314960629921" bottom="0.7480314960629921" header="0.3149606299212598" footer="0.3149606299212598"/>
  <pageSetup orientation="landscape" scale="60" horizontalDpi="120" verticalDpi="7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2014-07-31T16:48:47Z</dcterms:created>
  <dcterms:modified xsi:type="dcterms:W3CDTF">2026-07-05T15:21:37Z</dcterms:modified>
  <cp:lastModifiedBy>PAN CASERO</cp:lastModifiedBy>
  <cp:lastPrinted>2026-06-01T14:49:10Z</cp:lastPrinted>
</cp:coreProperties>
</file>