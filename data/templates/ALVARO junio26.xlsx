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kya\OneDrive\Escritorio\ARCHIVO1\ROLES de pago PANADERIA 2026\HORAS 2026 JUNIO\"/>
    </mc:Choice>
  </mc:AlternateContent>
  <xr:revisionPtr revIDLastSave="0" documentId="13_ncr:1_{7CECE75F-0D7F-469D-99E6-C38E890E6F73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JUNIO" sheetId="1" r:id="rId1"/>
    <sheet name="CALCU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2" l="1"/>
  <c r="R33" i="2" s="1"/>
  <c r="N33" i="2"/>
  <c r="L33" i="2"/>
  <c r="K33" i="2"/>
  <c r="J33" i="2"/>
  <c r="H33" i="2"/>
  <c r="I33" i="2" s="1"/>
  <c r="G33" i="2"/>
  <c r="O32" i="2"/>
  <c r="R32" i="2" s="1"/>
  <c r="N32" i="2"/>
  <c r="K32" i="2"/>
  <c r="J32" i="2"/>
  <c r="L32" i="2" s="1"/>
  <c r="I32" i="2"/>
  <c r="H32" i="2"/>
  <c r="G32" i="2"/>
  <c r="O26" i="2"/>
  <c r="R26" i="2" s="1"/>
  <c r="N26" i="2"/>
  <c r="K26" i="2"/>
  <c r="J26" i="2"/>
  <c r="H26" i="2"/>
  <c r="G26" i="2"/>
  <c r="S31" i="2"/>
  <c r="O31" i="2"/>
  <c r="K31" i="2"/>
  <c r="J31" i="2"/>
  <c r="H31" i="2"/>
  <c r="G31" i="2"/>
  <c r="O30" i="2"/>
  <c r="R30" i="2" s="1"/>
  <c r="N30" i="2"/>
  <c r="K30" i="2"/>
  <c r="J30" i="2"/>
  <c r="H30" i="2"/>
  <c r="G30" i="2"/>
  <c r="O29" i="2"/>
  <c r="R29" i="2" s="1"/>
  <c r="N29" i="2"/>
  <c r="K29" i="2"/>
  <c r="J29" i="2"/>
  <c r="H29" i="2"/>
  <c r="G29" i="2"/>
  <c r="O28" i="2"/>
  <c r="R28" i="2" s="1"/>
  <c r="N28" i="2"/>
  <c r="K28" i="2"/>
  <c r="J28" i="2"/>
  <c r="H28" i="2"/>
  <c r="G28" i="2"/>
  <c r="O27" i="2"/>
  <c r="R27" i="2" s="1"/>
  <c r="N27" i="2"/>
  <c r="K27" i="2"/>
  <c r="J27" i="2"/>
  <c r="H27" i="2"/>
  <c r="G27" i="2"/>
  <c r="O18" i="2"/>
  <c r="R18" i="2" s="1"/>
  <c r="N18" i="2"/>
  <c r="K18" i="2"/>
  <c r="J18" i="2"/>
  <c r="H18" i="2"/>
  <c r="G18" i="2"/>
  <c r="O17" i="2"/>
  <c r="R17" i="2" s="1"/>
  <c r="N17" i="2"/>
  <c r="K17" i="2"/>
  <c r="J17" i="2"/>
  <c r="H17" i="2"/>
  <c r="G17" i="2"/>
  <c r="O16" i="2"/>
  <c r="R16" i="2" s="1"/>
  <c r="N16" i="2"/>
  <c r="K16" i="2"/>
  <c r="J16" i="2"/>
  <c r="H16" i="2"/>
  <c r="G16" i="2"/>
  <c r="I16" i="2" s="1"/>
  <c r="O15" i="2"/>
  <c r="R15" i="2" s="1"/>
  <c r="N15" i="2"/>
  <c r="K15" i="2"/>
  <c r="J15" i="2"/>
  <c r="H15" i="2"/>
  <c r="G15" i="2"/>
  <c r="O14" i="2"/>
  <c r="R14" i="2" s="1"/>
  <c r="N14" i="2"/>
  <c r="K14" i="2"/>
  <c r="J14" i="2"/>
  <c r="H14" i="2"/>
  <c r="G14" i="2"/>
  <c r="O12" i="2"/>
  <c r="R12" i="2" s="1"/>
  <c r="N12" i="2"/>
  <c r="K12" i="2"/>
  <c r="J12" i="2"/>
  <c r="H12" i="2"/>
  <c r="G12" i="2"/>
  <c r="O11" i="2"/>
  <c r="R11" i="2" s="1"/>
  <c r="N11" i="2"/>
  <c r="K11" i="2"/>
  <c r="J11" i="2"/>
  <c r="H11" i="2"/>
  <c r="G11" i="2"/>
  <c r="O10" i="2"/>
  <c r="R10" i="2" s="1"/>
  <c r="N10" i="2"/>
  <c r="K10" i="2"/>
  <c r="J10" i="2"/>
  <c r="H10" i="2"/>
  <c r="G10" i="2"/>
  <c r="O9" i="2"/>
  <c r="R9" i="2" s="1"/>
  <c r="N9" i="2"/>
  <c r="K9" i="2"/>
  <c r="J9" i="2"/>
  <c r="H9" i="2"/>
  <c r="G9" i="2"/>
  <c r="O8" i="2"/>
  <c r="R8" i="2" s="1"/>
  <c r="N8" i="2"/>
  <c r="K8" i="2"/>
  <c r="J8" i="2"/>
  <c r="H8" i="2"/>
  <c r="G8" i="2"/>
  <c r="O24" i="2"/>
  <c r="R24" i="2" s="1"/>
  <c r="N24" i="2"/>
  <c r="K24" i="2"/>
  <c r="J24" i="2"/>
  <c r="H24" i="2"/>
  <c r="O23" i="2"/>
  <c r="R23" i="2" s="1"/>
  <c r="N23" i="2"/>
  <c r="K23" i="2"/>
  <c r="J23" i="2"/>
  <c r="H23" i="2"/>
  <c r="O22" i="2"/>
  <c r="R22" i="2" s="1"/>
  <c r="N22" i="2"/>
  <c r="K22" i="2"/>
  <c r="J22" i="2"/>
  <c r="H22" i="2"/>
  <c r="O21" i="2"/>
  <c r="R21" i="2" s="1"/>
  <c r="N21" i="2"/>
  <c r="K21" i="2"/>
  <c r="J21" i="2"/>
  <c r="H21" i="2"/>
  <c r="G21" i="2"/>
  <c r="O20" i="2"/>
  <c r="R20" i="2" s="1"/>
  <c r="N20" i="2"/>
  <c r="K20" i="2"/>
  <c r="J20" i="2"/>
  <c r="H20" i="2"/>
  <c r="G20" i="2"/>
  <c r="S25" i="2"/>
  <c r="O25" i="2"/>
  <c r="K25" i="2"/>
  <c r="J25" i="2"/>
  <c r="H25" i="2"/>
  <c r="G25" i="2"/>
  <c r="G24" i="2"/>
  <c r="G23" i="2"/>
  <c r="G22" i="2"/>
  <c r="S19" i="2"/>
  <c r="O19" i="2"/>
  <c r="K19" i="2"/>
  <c r="J19" i="2"/>
  <c r="H19" i="2"/>
  <c r="G19" i="2"/>
  <c r="S13" i="2"/>
  <c r="O13" i="2"/>
  <c r="K13" i="2"/>
  <c r="J13" i="2"/>
  <c r="H13" i="2"/>
  <c r="G13" i="2"/>
  <c r="L26" i="2" l="1"/>
  <c r="I26" i="2"/>
  <c r="N34" i="2"/>
  <c r="I31" i="2"/>
  <c r="R34" i="2"/>
  <c r="L31" i="2"/>
  <c r="I30" i="2"/>
  <c r="L30" i="2"/>
  <c r="L29" i="2"/>
  <c r="I29" i="2"/>
  <c r="I28" i="2"/>
  <c r="L27" i="2"/>
  <c r="I27" i="2"/>
  <c r="L28" i="2"/>
  <c r="I17" i="2"/>
  <c r="L22" i="2"/>
  <c r="L8" i="2"/>
  <c r="L18" i="2"/>
  <c r="L23" i="2"/>
  <c r="L15" i="2"/>
  <c r="L17" i="2"/>
  <c r="I10" i="2"/>
  <c r="L14" i="2"/>
  <c r="I15" i="2"/>
  <c r="L16" i="2"/>
  <c r="I21" i="2"/>
  <c r="I18" i="2"/>
  <c r="I23" i="2"/>
  <c r="I20" i="2"/>
  <c r="L21" i="2"/>
  <c r="I14" i="2"/>
  <c r="I12" i="2"/>
  <c r="I8" i="2"/>
  <c r="L24" i="2"/>
  <c r="I11" i="2"/>
  <c r="L12" i="2"/>
  <c r="I24" i="2"/>
  <c r="L10" i="2"/>
  <c r="I22" i="2"/>
  <c r="L9" i="2"/>
  <c r="L20" i="2"/>
  <c r="I9" i="2"/>
  <c r="L11" i="2"/>
  <c r="I25" i="2"/>
  <c r="L25" i="2"/>
  <c r="I19" i="2"/>
  <c r="L19" i="2"/>
  <c r="I13" i="2"/>
  <c r="L13" i="2"/>
  <c r="S34" i="2"/>
  <c r="M39" i="2" l="1"/>
  <c r="N39" i="2" s="1"/>
  <c r="M38" i="2"/>
  <c r="O38" i="2" s="1"/>
  <c r="M37" i="2"/>
  <c r="N37" i="2" s="1"/>
  <c r="N38" i="2" l="1"/>
  <c r="P38" i="2" s="1"/>
  <c r="O37" i="2"/>
  <c r="P37" i="2" s="1"/>
  <c r="O39" i="2"/>
  <c r="P39" i="2" s="1"/>
  <c r="P40" i="2" l="1"/>
  <c r="N40" i="2"/>
  <c r="O40" i="2" l="1"/>
</calcChain>
</file>

<file path=xl/sharedStrings.xml><?xml version="1.0" encoding="utf-8"?>
<sst xmlns="http://schemas.openxmlformats.org/spreadsheetml/2006/main" count="134" uniqueCount="65">
  <si>
    <t>3</t>
  </si>
  <si>
    <t>ALVARO ARIAS</t>
  </si>
  <si>
    <t>Entrada</t>
  </si>
  <si>
    <t>Salida</t>
  </si>
  <si>
    <t>HORARIO</t>
  </si>
  <si>
    <t>ENTRADA</t>
  </si>
  <si>
    <t>SALIDA</t>
  </si>
  <si>
    <t>Emp No.</t>
  </si>
  <si>
    <t>Fecha</t>
  </si>
  <si>
    <t>Marco        Entrada</t>
  </si>
  <si>
    <t>Marco        Salida</t>
  </si>
  <si>
    <t>CONTROL ASISTENCIA</t>
  </si>
  <si>
    <t>Horas nocturnas, suplementarias y extraordinarias</t>
  </si>
  <si>
    <t>TOTAL</t>
  </si>
  <si>
    <t>Atraso</t>
  </si>
  <si>
    <t>Salida Temprano</t>
  </si>
  <si>
    <t>Horario nocturno  base       mañana</t>
  </si>
  <si>
    <t xml:space="preserve">Horas Nocturnas </t>
  </si>
  <si>
    <t>Horas Suplement Base</t>
  </si>
  <si>
    <t>Horario normal</t>
  </si>
  <si>
    <t>Comida</t>
  </si>
  <si>
    <t xml:space="preserve">Horas Suplementarias </t>
  </si>
  <si>
    <t xml:space="preserve">Horas Extraordinarias </t>
  </si>
  <si>
    <t>Tipo horas</t>
  </si>
  <si>
    <t>No horas</t>
  </si>
  <si>
    <t>No. minutos</t>
  </si>
  <si>
    <t>Valor x  hora  US$</t>
  </si>
  <si>
    <t xml:space="preserve"> Recargo</t>
  </si>
  <si>
    <t>Valor x  hora con recargo                     US$</t>
  </si>
  <si>
    <t>Valor        horas          US$</t>
  </si>
  <si>
    <t>Valor        minutos          US$</t>
  </si>
  <si>
    <t>Valor total US$</t>
  </si>
  <si>
    <t>Horas nocturnas</t>
  </si>
  <si>
    <t>Horas suplemenarias</t>
  </si>
  <si>
    <t>Horas extraordinarias</t>
  </si>
  <si>
    <t>Total</t>
  </si>
  <si>
    <t>FIRMA CONFORME</t>
  </si>
  <si>
    <t>AC-No.</t>
  </si>
  <si>
    <t>IMSS/CURP</t>
  </si>
  <si>
    <t>Nombre</t>
  </si>
  <si>
    <t>Fecha y hora</t>
  </si>
  <si>
    <t>ZAIDA DIDONATO</t>
  </si>
  <si>
    <t>ALVARO A</t>
  </si>
  <si>
    <t>REPORTES DE HORAS RELOJ JUNIO 2026</t>
  </si>
  <si>
    <t>01/06/2026 02:40:30</t>
  </si>
  <si>
    <t>01/06/2026 12:03:22</t>
  </si>
  <si>
    <t>02/06/2026 02:41:54</t>
  </si>
  <si>
    <t>02/06/2026 12:07:56</t>
  </si>
  <si>
    <t>03/06/2026 02:42:38</t>
  </si>
  <si>
    <t>03/06/2026 12:24:12</t>
  </si>
  <si>
    <t>04/06/2026 02:43:20</t>
  </si>
  <si>
    <t>04/06/2026 11:53:35</t>
  </si>
  <si>
    <t>05/06/2026 02:45:31</t>
  </si>
  <si>
    <t>05/06/2026 12:27:41</t>
  </si>
  <si>
    <t>06/06/2026 02:42:21</t>
  </si>
  <si>
    <t>06/06/2026 12:33:38</t>
  </si>
  <si>
    <t>08/06/2026 02:41:56</t>
  </si>
  <si>
    <t>08/06/2026 12:11:22</t>
  </si>
  <si>
    <t>09/06/2026 02:42:06</t>
  </si>
  <si>
    <t>09/06/2026 12:23:05</t>
  </si>
  <si>
    <t>10/06/2026 02:45:42</t>
  </si>
  <si>
    <t>10/06/2026 07:13:47</t>
  </si>
  <si>
    <t>11/06/2026 02:39:46</t>
  </si>
  <si>
    <t>11/06/2026 12:16:44</t>
  </si>
  <si>
    <t>12/06/2026 02:40:04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</si>
</sst>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0.000"/>
  </numFmts>
  <fonts count="9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Calibri"/>
      <family val="2"/>
    </font>
    <font>
      <sz val="8"/>
      <name val="Tahoma"/>
      <family val="2"/>
    </font>
    <font>
      <sz val="8"/>
      <name val="Tahoma"/>
      <charset val="1"/>
    </font>
    <font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22" fontId="3" fillId="0" borderId="0" xfId="0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21" fontId="5" fillId="0" borderId="2" xfId="0" applyNumberFormat="1" applyFont="1" applyBorder="1" applyAlignment="1">
      <alignment horizontal="center"/>
    </xf>
    <xf numFmtId="21" fontId="5" fillId="0" borderId="0" xfId="0" applyNumberFormat="1" applyFont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2" applyFont="1" applyBorder="1"/>
    <xf numFmtId="14" fontId="5" fillId="0" borderId="2" xfId="2" applyNumberFormat="1" applyFont="1" applyBorder="1" applyAlignment="1">
      <alignment horizontal="center"/>
    </xf>
    <xf numFmtId="21" fontId="5" fillId="0" borderId="2" xfId="2" applyNumberFormat="1" applyFont="1" applyBorder="1"/>
    <xf numFmtId="20" fontId="5" fillId="0" borderId="2" xfId="0" applyNumberFormat="1" applyFont="1" applyBorder="1" applyAlignment="1">
      <alignment horizontal="center"/>
    </xf>
    <xf numFmtId="20" fontId="5" fillId="3" borderId="2" xfId="0" applyNumberFormat="1" applyFont="1" applyFill="1" applyBorder="1" applyAlignment="1">
      <alignment horizontal="center" vertical="center"/>
    </xf>
    <xf numFmtId="21" fontId="5" fillId="0" borderId="1" xfId="0" applyNumberFormat="1" applyFont="1" applyBorder="1" applyAlignment="1">
      <alignment horizontal="left"/>
    </xf>
    <xf numFmtId="21" fontId="5" fillId="0" borderId="2" xfId="0" applyNumberFormat="1" applyFont="1" applyBorder="1" applyAlignment="1">
      <alignment horizontal="left"/>
    </xf>
    <xf numFmtId="20" fontId="5" fillId="0" borderId="12" xfId="0" applyNumberFormat="1" applyFont="1" applyBorder="1" applyAlignment="1">
      <alignment horizontal="left"/>
    </xf>
    <xf numFmtId="21" fontId="5" fillId="0" borderId="1" xfId="0" applyNumberFormat="1" applyFont="1" applyBorder="1" applyAlignment="1">
      <alignment horizontal="center"/>
    </xf>
    <xf numFmtId="21" fontId="5" fillId="0" borderId="2" xfId="0" applyNumberFormat="1" applyFont="1" applyBorder="1"/>
    <xf numFmtId="0" fontId="5" fillId="0" borderId="2" xfId="0" applyFont="1" applyBorder="1"/>
    <xf numFmtId="0" fontId="5" fillId="2" borderId="2" xfId="2" applyFont="1" applyFill="1" applyBorder="1"/>
    <xf numFmtId="14" fontId="5" fillId="2" borderId="2" xfId="2" applyNumberFormat="1" applyFont="1" applyFill="1" applyBorder="1" applyAlignment="1">
      <alignment horizontal="center"/>
    </xf>
    <xf numFmtId="21" fontId="5" fillId="2" borderId="2" xfId="2" applyNumberFormat="1" applyFont="1" applyFill="1" applyBorder="1"/>
    <xf numFmtId="20" fontId="5" fillId="2" borderId="2" xfId="0" applyNumberFormat="1" applyFont="1" applyFill="1" applyBorder="1" applyAlignment="1">
      <alignment horizontal="center"/>
    </xf>
    <xf numFmtId="20" fontId="5" fillId="2" borderId="2" xfId="0" applyNumberFormat="1" applyFont="1" applyFill="1" applyBorder="1" applyAlignment="1">
      <alignment horizontal="center" vertical="center"/>
    </xf>
    <xf numFmtId="21" fontId="5" fillId="2" borderId="1" xfId="0" applyNumberFormat="1" applyFont="1" applyFill="1" applyBorder="1" applyAlignment="1">
      <alignment horizontal="left"/>
    </xf>
    <xf numFmtId="21" fontId="5" fillId="2" borderId="2" xfId="0" applyNumberFormat="1" applyFont="1" applyFill="1" applyBorder="1" applyAlignment="1">
      <alignment horizontal="center"/>
    </xf>
    <xf numFmtId="21" fontId="5" fillId="2" borderId="2" xfId="0" applyNumberFormat="1" applyFont="1" applyFill="1" applyBorder="1" applyAlignment="1">
      <alignment horizontal="left"/>
    </xf>
    <xf numFmtId="20" fontId="5" fillId="2" borderId="12" xfId="0" applyNumberFormat="1" applyFont="1" applyFill="1" applyBorder="1" applyAlignment="1">
      <alignment horizontal="left"/>
    </xf>
    <xf numFmtId="21" fontId="5" fillId="2" borderId="1" xfId="0" applyNumberFormat="1" applyFont="1" applyFill="1" applyBorder="1" applyAlignment="1">
      <alignment horizontal="center"/>
    </xf>
    <xf numFmtId="21" fontId="5" fillId="2" borderId="2" xfId="0" applyNumberFormat="1" applyFont="1" applyFill="1" applyBorder="1"/>
    <xf numFmtId="0" fontId="5" fillId="3" borderId="0" xfId="2" applyFont="1" applyFill="1"/>
    <xf numFmtId="14" fontId="5" fillId="3" borderId="0" xfId="2" applyNumberFormat="1" applyFont="1" applyFill="1" applyAlignment="1">
      <alignment horizontal="center"/>
    </xf>
    <xf numFmtId="21" fontId="5" fillId="3" borderId="0" xfId="2" applyNumberFormat="1" applyFont="1" applyFill="1"/>
    <xf numFmtId="20" fontId="5" fillId="3" borderId="0" xfId="0" applyNumberFormat="1" applyFont="1" applyFill="1" applyAlignment="1">
      <alignment horizontal="center"/>
    </xf>
    <xf numFmtId="20" fontId="5" fillId="3" borderId="0" xfId="0" applyNumberFormat="1" applyFont="1" applyFill="1" applyAlignment="1">
      <alignment horizontal="center" vertical="center"/>
    </xf>
    <xf numFmtId="21" fontId="5" fillId="3" borderId="0" xfId="0" applyNumberFormat="1" applyFont="1" applyFill="1" applyAlignment="1">
      <alignment horizontal="left"/>
    </xf>
    <xf numFmtId="21" fontId="5" fillId="3" borderId="0" xfId="0" applyNumberFormat="1" applyFont="1" applyFill="1" applyAlignment="1">
      <alignment horizontal="center"/>
    </xf>
    <xf numFmtId="20" fontId="5" fillId="3" borderId="0" xfId="0" applyNumberFormat="1" applyFont="1" applyFill="1" applyAlignment="1">
      <alignment horizontal="left"/>
    </xf>
    <xf numFmtId="46" fontId="5" fillId="0" borderId="0" xfId="0" applyNumberFormat="1" applyFont="1"/>
    <xf numFmtId="21" fontId="5" fillId="3" borderId="0" xfId="0" applyNumberFormat="1" applyFont="1" applyFill="1"/>
    <xf numFmtId="0" fontId="5" fillId="3" borderId="0" xfId="0" applyFont="1" applyFill="1"/>
    <xf numFmtId="49" fontId="5" fillId="0" borderId="0" xfId="0" applyNumberFormat="1" applyFo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2" fontId="5" fillId="0" borderId="2" xfId="0" applyNumberFormat="1" applyFont="1" applyBorder="1"/>
    <xf numFmtId="164" fontId="5" fillId="0" borderId="2" xfId="1" applyNumberFormat="1" applyFont="1" applyFill="1" applyBorder="1"/>
    <xf numFmtId="43" fontId="5" fillId="0" borderId="2" xfId="1" applyFont="1" applyFill="1" applyBorder="1"/>
    <xf numFmtId="43" fontId="5" fillId="0" borderId="3" xfId="0" applyNumberFormat="1" applyFont="1" applyBorder="1"/>
    <xf numFmtId="2" fontId="5" fillId="0" borderId="11" xfId="1" applyNumberFormat="1" applyFont="1" applyFill="1" applyBorder="1"/>
    <xf numFmtId="2" fontId="5" fillId="0" borderId="12" xfId="0" applyNumberFormat="1" applyFont="1" applyBorder="1"/>
    <xf numFmtId="0" fontId="5" fillId="0" borderId="17" xfId="0" applyFont="1" applyBorder="1"/>
    <xf numFmtId="0" fontId="5" fillId="0" borderId="3" xfId="0" applyFont="1" applyBorder="1"/>
    <xf numFmtId="2" fontId="5" fillId="0" borderId="13" xfId="0" applyNumberFormat="1" applyFont="1" applyBorder="1"/>
    <xf numFmtId="2" fontId="5" fillId="0" borderId="18" xfId="0" applyNumberFormat="1" applyFont="1" applyBorder="1"/>
    <xf numFmtId="43" fontId="5" fillId="0" borderId="0" xfId="0" applyNumberFormat="1" applyFont="1"/>
    <xf numFmtId="165" fontId="5" fillId="0" borderId="0" xfId="0" applyNumberFormat="1" applyFont="1" applyAlignment="1">
      <alignment horizontal="center"/>
    </xf>
    <xf numFmtId="49" fontId="6" fillId="4" borderId="0" xfId="0" applyNumberFormat="1" applyFont="1" applyFill="1" applyAlignment="1">
      <alignment horizontal="left" vertical="center"/>
    </xf>
    <xf numFmtId="49" fontId="7" fillId="4" borderId="20" xfId="0" applyNumberFormat="1" applyFont="1" applyFill="1" applyBorder="1" applyAlignment="1">
      <alignment horizontal="left" vertical="center"/>
    </xf>
    <xf numFmtId="49" fontId="7" fillId="4" borderId="21" xfId="0" applyNumberFormat="1" applyFont="1" applyFill="1" applyBorder="1" applyAlignment="1">
      <alignment horizontal="left" vertical="center"/>
    </xf>
    <xf numFmtId="49" fontId="7" fillId="4" borderId="2" xfId="0" applyNumberFormat="1" applyFont="1" applyFill="1" applyBorder="1" applyAlignment="1">
      <alignment horizontal="left" vertical="center"/>
    </xf>
    <xf numFmtId="49" fontId="6" fillId="4" borderId="2" xfId="0" applyNumberFormat="1" applyFont="1" applyFill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/>
    </xf>
    <xf numFmtId="21" fontId="8" fillId="0" borderId="0" xfId="0" applyNumberFormat="1" applyFont="1" applyAlignment="1">
      <alignment horizontal="center" vertical="center"/>
    </xf>
    <xf numFmtId="21" fontId="8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0"/>
  <sheetViews>
    <sheetView topLeftCell="A2" workbookViewId="0">
      <selection activeCell="C20" sqref="C20"/>
    </sheetView>
  </sheetViews>
  <sheetFormatPr baseColWidth="10" defaultRowHeight="11.25" x14ac:dyDescent="0.2"/>
  <cols>
    <col min="1" max="1" width="11.42578125" style="2"/>
    <col min="2" max="2" width="9.85546875" style="2" customWidth="1"/>
    <col min="3" max="3" width="16.85546875" style="2" customWidth="1"/>
    <col min="4" max="4" width="19.7109375" style="2" customWidth="1"/>
    <col min="5" max="230" width="11.42578125" style="2"/>
    <col min="231" max="231" width="20" style="2" customWidth="1"/>
    <col min="232" max="486" width="11.42578125" style="2"/>
    <col min="487" max="487" width="20" style="2" customWidth="1"/>
    <col min="488" max="742" width="11.42578125" style="2"/>
    <col min="743" max="743" width="20" style="2" customWidth="1"/>
    <col min="744" max="998" width="11.42578125" style="2"/>
    <col min="999" max="999" width="20" style="2" customWidth="1"/>
    <col min="1000" max="1254" width="11.42578125" style="2"/>
    <col min="1255" max="1255" width="20" style="2" customWidth="1"/>
    <col min="1256" max="1510" width="11.42578125" style="2"/>
    <col min="1511" max="1511" width="20" style="2" customWidth="1"/>
    <col min="1512" max="1766" width="11.42578125" style="2"/>
    <col min="1767" max="1767" width="20" style="2" customWidth="1"/>
    <col min="1768" max="2022" width="11.42578125" style="2"/>
    <col min="2023" max="2023" width="20" style="2" customWidth="1"/>
    <col min="2024" max="2278" width="11.42578125" style="2"/>
    <col min="2279" max="2279" width="20" style="2" customWidth="1"/>
    <col min="2280" max="2534" width="11.42578125" style="2"/>
    <col min="2535" max="2535" width="20" style="2" customWidth="1"/>
    <col min="2536" max="2790" width="11.42578125" style="2"/>
    <col min="2791" max="2791" width="20" style="2" customWidth="1"/>
    <col min="2792" max="3046" width="11.42578125" style="2"/>
    <col min="3047" max="3047" width="20" style="2" customWidth="1"/>
    <col min="3048" max="3302" width="11.42578125" style="2"/>
    <col min="3303" max="3303" width="20" style="2" customWidth="1"/>
    <col min="3304" max="3558" width="11.42578125" style="2"/>
    <col min="3559" max="3559" width="20" style="2" customWidth="1"/>
    <col min="3560" max="3814" width="11.42578125" style="2"/>
    <col min="3815" max="3815" width="20" style="2" customWidth="1"/>
    <col min="3816" max="4070" width="11.42578125" style="2"/>
    <col min="4071" max="4071" width="20" style="2" customWidth="1"/>
    <col min="4072" max="4326" width="11.42578125" style="2"/>
    <col min="4327" max="4327" width="20" style="2" customWidth="1"/>
    <col min="4328" max="4582" width="11.42578125" style="2"/>
    <col min="4583" max="4583" width="20" style="2" customWidth="1"/>
    <col min="4584" max="4838" width="11.42578125" style="2"/>
    <col min="4839" max="4839" width="20" style="2" customWidth="1"/>
    <col min="4840" max="5094" width="11.42578125" style="2"/>
    <col min="5095" max="5095" width="20" style="2" customWidth="1"/>
    <col min="5096" max="5350" width="11.42578125" style="2"/>
    <col min="5351" max="5351" width="20" style="2" customWidth="1"/>
    <col min="5352" max="5606" width="11.42578125" style="2"/>
    <col min="5607" max="5607" width="20" style="2" customWidth="1"/>
    <col min="5608" max="5862" width="11.42578125" style="2"/>
    <col min="5863" max="5863" width="20" style="2" customWidth="1"/>
    <col min="5864" max="6118" width="11.42578125" style="2"/>
    <col min="6119" max="6119" width="20" style="2" customWidth="1"/>
    <col min="6120" max="6374" width="11.42578125" style="2"/>
    <col min="6375" max="6375" width="20" style="2" customWidth="1"/>
    <col min="6376" max="6630" width="11.42578125" style="2"/>
    <col min="6631" max="6631" width="20" style="2" customWidth="1"/>
    <col min="6632" max="6886" width="11.42578125" style="2"/>
    <col min="6887" max="6887" width="20" style="2" customWidth="1"/>
    <col min="6888" max="7142" width="11.42578125" style="2"/>
    <col min="7143" max="7143" width="20" style="2" customWidth="1"/>
    <col min="7144" max="7398" width="11.42578125" style="2"/>
    <col min="7399" max="7399" width="20" style="2" customWidth="1"/>
    <col min="7400" max="7654" width="11.42578125" style="2"/>
    <col min="7655" max="7655" width="20" style="2" customWidth="1"/>
    <col min="7656" max="7910" width="11.42578125" style="2"/>
    <col min="7911" max="7911" width="20" style="2" customWidth="1"/>
    <col min="7912" max="8166" width="11.42578125" style="2"/>
    <col min="8167" max="8167" width="20" style="2" customWidth="1"/>
    <col min="8168" max="8422" width="11.42578125" style="2"/>
    <col min="8423" max="8423" width="20" style="2" customWidth="1"/>
    <col min="8424" max="8678" width="11.42578125" style="2"/>
    <col min="8679" max="8679" width="20" style="2" customWidth="1"/>
    <col min="8680" max="8934" width="11.42578125" style="2"/>
    <col min="8935" max="8935" width="20" style="2" customWidth="1"/>
    <col min="8936" max="9190" width="11.42578125" style="2"/>
    <col min="9191" max="9191" width="20" style="2" customWidth="1"/>
    <col min="9192" max="9446" width="11.42578125" style="2"/>
    <col min="9447" max="9447" width="20" style="2" customWidth="1"/>
    <col min="9448" max="9702" width="11.42578125" style="2"/>
    <col min="9703" max="9703" width="20" style="2" customWidth="1"/>
    <col min="9704" max="9958" width="11.42578125" style="2"/>
    <col min="9959" max="9959" width="20" style="2" customWidth="1"/>
    <col min="9960" max="10214" width="11.42578125" style="2"/>
    <col min="10215" max="10215" width="20" style="2" customWidth="1"/>
    <col min="10216" max="10470" width="11.42578125" style="2"/>
    <col min="10471" max="10471" width="20" style="2" customWidth="1"/>
    <col min="10472" max="10726" width="11.42578125" style="2"/>
    <col min="10727" max="10727" width="20" style="2" customWidth="1"/>
    <col min="10728" max="10982" width="11.42578125" style="2"/>
    <col min="10983" max="10983" width="20" style="2" customWidth="1"/>
    <col min="10984" max="11238" width="11.42578125" style="2"/>
    <col min="11239" max="11239" width="20" style="2" customWidth="1"/>
    <col min="11240" max="11494" width="11.42578125" style="2"/>
    <col min="11495" max="11495" width="20" style="2" customWidth="1"/>
    <col min="11496" max="11750" width="11.42578125" style="2"/>
    <col min="11751" max="11751" width="20" style="2" customWidth="1"/>
    <col min="11752" max="12006" width="11.42578125" style="2"/>
    <col min="12007" max="12007" width="20" style="2" customWidth="1"/>
    <col min="12008" max="12262" width="11.42578125" style="2"/>
    <col min="12263" max="12263" width="20" style="2" customWidth="1"/>
    <col min="12264" max="12518" width="11.42578125" style="2"/>
    <col min="12519" max="12519" width="20" style="2" customWidth="1"/>
    <col min="12520" max="12774" width="11.42578125" style="2"/>
    <col min="12775" max="12775" width="20" style="2" customWidth="1"/>
    <col min="12776" max="13030" width="11.42578125" style="2"/>
    <col min="13031" max="13031" width="20" style="2" customWidth="1"/>
    <col min="13032" max="13286" width="11.42578125" style="2"/>
    <col min="13287" max="13287" width="20" style="2" customWidth="1"/>
    <col min="13288" max="13542" width="11.42578125" style="2"/>
    <col min="13543" max="13543" width="20" style="2" customWidth="1"/>
    <col min="13544" max="13798" width="11.42578125" style="2"/>
    <col min="13799" max="13799" width="20" style="2" customWidth="1"/>
    <col min="13800" max="14054" width="11.42578125" style="2"/>
    <col min="14055" max="14055" width="20" style="2" customWidth="1"/>
    <col min="14056" max="14310" width="11.42578125" style="2"/>
    <col min="14311" max="14311" width="20" style="2" customWidth="1"/>
    <col min="14312" max="14566" width="11.42578125" style="2"/>
    <col min="14567" max="14567" width="20" style="2" customWidth="1"/>
    <col min="14568" max="14822" width="11.42578125" style="2"/>
    <col min="14823" max="14823" width="20" style="2" customWidth="1"/>
    <col min="14824" max="15078" width="11.42578125" style="2"/>
    <col min="15079" max="15079" width="20" style="2" customWidth="1"/>
    <col min="15080" max="15334" width="11.42578125" style="2"/>
    <col min="15335" max="15335" width="20" style="2" customWidth="1"/>
    <col min="15336" max="15590" width="11.42578125" style="2"/>
    <col min="15591" max="15591" width="20" style="2" customWidth="1"/>
    <col min="15592" max="15846" width="11.42578125" style="2"/>
    <col min="15847" max="15847" width="20" style="2" customWidth="1"/>
    <col min="15848" max="16102" width="11.42578125" style="2"/>
    <col min="16103" max="16103" width="20" style="2" customWidth="1"/>
    <col min="16104" max="16384" width="11.42578125" style="2"/>
  </cols>
  <sheetData>
    <row r="1" spans="1:4" x14ac:dyDescent="0.2">
      <c r="A1" s="1" t="s">
        <v>37</v>
      </c>
      <c r="B1" s="1" t="s">
        <v>38</v>
      </c>
      <c r="C1" s="1" t="s">
        <v>39</v>
      </c>
      <c r="D1" s="1" t="s">
        <v>40</v>
      </c>
    </row>
    <row r="2" spans="1:4" ht="23.25" customHeight="1" x14ac:dyDescent="0.2">
      <c r="A2" s="69" t="s">
        <v>0</v>
      </c>
      <c r="B2" s="69" t="s">
        <v>42</v>
      </c>
      <c r="C2" s="69" t="s">
        <v>44</v>
      </c>
      <c r="D2" s="1"/>
    </row>
    <row r="3" spans="1:4" ht="18" customHeight="1" x14ac:dyDescent="0.2">
      <c r="A3" s="69" t="s">
        <v>0</v>
      </c>
      <c r="B3" s="69" t="s">
        <v>42</v>
      </c>
      <c r="C3" s="69" t="s">
        <v>45</v>
      </c>
    </row>
    <row r="4" spans="1:4" ht="18" customHeight="1" x14ac:dyDescent="0.2">
      <c r="A4" s="69" t="s">
        <v>0</v>
      </c>
      <c r="B4" s="69" t="s">
        <v>42</v>
      </c>
      <c r="C4" s="69" t="s">
        <v>46</v>
      </c>
    </row>
    <row r="5" spans="1:4" ht="18" customHeight="1" x14ac:dyDescent="0.2">
      <c r="A5" s="69" t="s">
        <v>0</v>
      </c>
      <c r="B5" s="69" t="s">
        <v>42</v>
      </c>
      <c r="C5" s="69" t="s">
        <v>47</v>
      </c>
    </row>
    <row r="6" spans="1:4" ht="18" customHeight="1" x14ac:dyDescent="0.2">
      <c r="A6" s="69" t="s">
        <v>0</v>
      </c>
      <c r="B6" s="69" t="s">
        <v>42</v>
      </c>
      <c r="C6" s="69" t="s">
        <v>48</v>
      </c>
    </row>
    <row r="7" spans="1:4" ht="18" customHeight="1" x14ac:dyDescent="0.2">
      <c r="A7" s="69" t="s">
        <v>0</v>
      </c>
      <c r="B7" s="69" t="s">
        <v>42</v>
      </c>
      <c r="C7" s="69" t="s">
        <v>49</v>
      </c>
    </row>
    <row r="8" spans="1:4" ht="18" customHeight="1" x14ac:dyDescent="0.2">
      <c r="A8" s="69" t="s">
        <v>0</v>
      </c>
      <c r="B8" s="69" t="s">
        <v>42</v>
      </c>
      <c r="C8" s="69" t="s">
        <v>50</v>
      </c>
    </row>
    <row r="9" spans="1:4" ht="18" customHeight="1" x14ac:dyDescent="0.2">
      <c r="A9" s="69" t="s">
        <v>0</v>
      </c>
      <c r="B9" s="69" t="s">
        <v>42</v>
      </c>
      <c r="C9" s="69" t="s">
        <v>51</v>
      </c>
    </row>
    <row r="10" spans="1:4" ht="18" customHeight="1" x14ac:dyDescent="0.2">
      <c r="A10" s="69" t="s">
        <v>0</v>
      </c>
      <c r="B10" s="69" t="s">
        <v>42</v>
      </c>
      <c r="C10" s="69" t="s">
        <v>52</v>
      </c>
    </row>
    <row r="11" spans="1:4" ht="18" customHeight="1" x14ac:dyDescent="0.2">
      <c r="A11" s="69" t="s">
        <v>0</v>
      </c>
      <c r="B11" s="69" t="s">
        <v>42</v>
      </c>
      <c r="C11" s="69" t="s">
        <v>53</v>
      </c>
    </row>
    <row r="12" spans="1:4" ht="18" customHeight="1" x14ac:dyDescent="0.2">
      <c r="A12" s="69" t="s">
        <v>0</v>
      </c>
      <c r="B12" s="69" t="s">
        <v>42</v>
      </c>
      <c r="C12" s="69" t="s">
        <v>54</v>
      </c>
    </row>
    <row r="13" spans="1:4" ht="18" customHeight="1" x14ac:dyDescent="0.2">
      <c r="A13" s="69" t="s">
        <v>0</v>
      </c>
      <c r="B13" s="69" t="s">
        <v>42</v>
      </c>
      <c r="C13" s="69" t="s">
        <v>55</v>
      </c>
    </row>
    <row r="14" spans="1:4" ht="18" customHeight="1" x14ac:dyDescent="0.2">
      <c r="A14" s="69" t="s">
        <v>0</v>
      </c>
      <c r="B14" s="69" t="s">
        <v>42</v>
      </c>
      <c r="C14" s="69" t="s">
        <v>56</v>
      </c>
    </row>
    <row r="15" spans="1:4" ht="18" customHeight="1" x14ac:dyDescent="0.2">
      <c r="A15" s="69" t="s">
        <v>0</v>
      </c>
      <c r="B15" s="69" t="s">
        <v>42</v>
      </c>
      <c r="C15" s="69" t="s">
        <v>57</v>
      </c>
    </row>
    <row r="16" spans="1:4" ht="18" customHeight="1" x14ac:dyDescent="0.2">
      <c r="A16" s="69" t="s">
        <v>0</v>
      </c>
      <c r="B16" s="69" t="s">
        <v>42</v>
      </c>
      <c r="C16" s="69" t="s">
        <v>58</v>
      </c>
    </row>
    <row r="17" spans="1:3" ht="18" customHeight="1" x14ac:dyDescent="0.2">
      <c r="A17" s="69" t="s">
        <v>0</v>
      </c>
      <c r="B17" s="69" t="s">
        <v>42</v>
      </c>
      <c r="C17" s="69" t="s">
        <v>59</v>
      </c>
    </row>
    <row r="18" spans="1:3" ht="18" customHeight="1" x14ac:dyDescent="0.2">
      <c r="A18" s="69" t="s">
        <v>0</v>
      </c>
      <c r="B18" s="69" t="s">
        <v>42</v>
      </c>
      <c r="C18" s="69" t="s">
        <v>60</v>
      </c>
    </row>
    <row r="19" spans="1:3" ht="18" customHeight="1" x14ac:dyDescent="0.2">
      <c r="A19" s="69" t="s">
        <v>0</v>
      </c>
      <c r="B19" s="69" t="s">
        <v>42</v>
      </c>
      <c r="C19" s="69" t="s">
        <v>61</v>
      </c>
    </row>
    <row r="20" spans="1:3" ht="18" customHeight="1" x14ac:dyDescent="0.2">
      <c r="A20" s="69" t="s">
        <v>0</v>
      </c>
      <c r="B20" s="69" t="s">
        <v>42</v>
      </c>
      <c r="C20" s="69" t="s">
        <v>62</v>
      </c>
    </row>
    <row r="21" spans="1:3" ht="18" customHeight="1" x14ac:dyDescent="0.2">
      <c r="A21" s="69" t="s">
        <v>0</v>
      </c>
      <c r="B21" s="69" t="s">
        <v>42</v>
      </c>
      <c r="C21" s="69" t="s">
        <v>63</v>
      </c>
    </row>
    <row r="22" spans="1:3" ht="18" customHeight="1" x14ac:dyDescent="0.2">
      <c r="A22" s="69" t="s">
        <v>0</v>
      </c>
      <c r="B22" s="69" t="s">
        <v>42</v>
      </c>
      <c r="C22" s="69" t="s">
        <v>64</v>
      </c>
    </row>
    <row r="23" spans="1:3" ht="18" customHeight="1" x14ac:dyDescent="0.2">
      <c r="A23" s="69"/>
      <c r="B23" s="69"/>
      <c r="C23" s="69"/>
    </row>
    <row r="24" spans="1:3" ht="18" customHeight="1" x14ac:dyDescent="0.2">
      <c r="A24" s="69"/>
      <c r="B24" s="69"/>
      <c r="C24" s="69"/>
    </row>
    <row r="25" spans="1:3" ht="18" customHeight="1" x14ac:dyDescent="0.2">
      <c r="A25" s="69"/>
      <c r="B25" s="69"/>
      <c r="C25" s="69"/>
    </row>
    <row r="26" spans="1:3" ht="18" customHeight="1" x14ac:dyDescent="0.2">
      <c r="A26" s="69"/>
      <c r="B26" s="69"/>
      <c r="C26" s="69"/>
    </row>
    <row r="27" spans="1:3" ht="18" customHeight="1" x14ac:dyDescent="0.2">
      <c r="A27" s="69"/>
      <c r="B27" s="69"/>
      <c r="C27" s="69"/>
    </row>
    <row r="28" spans="1:3" ht="18" customHeight="1" x14ac:dyDescent="0.2">
      <c r="A28" s="69"/>
      <c r="B28" s="69"/>
      <c r="C28" s="69"/>
    </row>
    <row r="29" spans="1:3" ht="18" customHeight="1" x14ac:dyDescent="0.2">
      <c r="A29" s="69"/>
      <c r="B29" s="69"/>
      <c r="C29" s="69"/>
    </row>
    <row r="30" spans="1:3" ht="18" customHeight="1" x14ac:dyDescent="0.2">
      <c r="A30" s="69"/>
      <c r="B30" s="69"/>
      <c r="C30" s="69"/>
    </row>
    <row r="31" spans="1:3" ht="18" customHeight="1" x14ac:dyDescent="0.2">
      <c r="A31" s="69"/>
      <c r="B31" s="69"/>
      <c r="C31" s="69"/>
    </row>
    <row r="32" spans="1:3" ht="18" customHeight="1" x14ac:dyDescent="0.2">
      <c r="A32" s="69"/>
      <c r="B32" s="69"/>
      <c r="C32" s="69"/>
    </row>
    <row r="33" spans="1:3" ht="18" customHeight="1" x14ac:dyDescent="0.2">
      <c r="A33" s="69"/>
      <c r="B33" s="69"/>
      <c r="C33" s="69"/>
    </row>
    <row r="34" spans="1:3" ht="18" customHeight="1" x14ac:dyDescent="0.2">
      <c r="A34" s="69"/>
      <c r="B34" s="69"/>
      <c r="C34" s="69"/>
    </row>
    <row r="35" spans="1:3" ht="18" customHeight="1" x14ac:dyDescent="0.2">
      <c r="A35" s="69"/>
      <c r="B35" s="69"/>
      <c r="C35" s="69"/>
    </row>
    <row r="36" spans="1:3" ht="18" customHeight="1" x14ac:dyDescent="0.2">
      <c r="A36" s="69"/>
      <c r="B36" s="69"/>
      <c r="C36" s="69"/>
    </row>
    <row r="37" spans="1:3" ht="18" customHeight="1" x14ac:dyDescent="0.2">
      <c r="A37" s="69"/>
      <c r="B37" s="69"/>
      <c r="C37" s="69"/>
    </row>
    <row r="38" spans="1:3" ht="18" customHeight="1" x14ac:dyDescent="0.2">
      <c r="A38" s="69"/>
      <c r="B38" s="69"/>
      <c r="C38" s="69"/>
    </row>
    <row r="39" spans="1:3" ht="18" customHeight="1" x14ac:dyDescent="0.2">
      <c r="A39" s="69"/>
      <c r="B39" s="69"/>
      <c r="C39" s="69"/>
    </row>
    <row r="40" spans="1:3" ht="18" customHeight="1" x14ac:dyDescent="0.2">
      <c r="A40" s="69"/>
      <c r="B40" s="69"/>
      <c r="C40" s="69"/>
    </row>
    <row r="41" spans="1:3" ht="18" customHeight="1" x14ac:dyDescent="0.2">
      <c r="A41" s="69"/>
      <c r="B41" s="69"/>
      <c r="C41" s="69"/>
    </row>
    <row r="42" spans="1:3" ht="18" customHeight="1" x14ac:dyDescent="0.2">
      <c r="A42" s="69"/>
      <c r="B42" s="69"/>
      <c r="C42" s="69"/>
    </row>
    <row r="43" spans="1:3" ht="18" customHeight="1" x14ac:dyDescent="0.2">
      <c r="A43" s="69"/>
      <c r="B43" s="69"/>
      <c r="C43" s="69"/>
    </row>
    <row r="44" spans="1:3" ht="18" customHeight="1" x14ac:dyDescent="0.2">
      <c r="A44" s="69"/>
      <c r="B44" s="69"/>
      <c r="C44" s="69"/>
    </row>
    <row r="45" spans="1:3" ht="18" customHeight="1" x14ac:dyDescent="0.2">
      <c r="A45" s="69"/>
      <c r="B45" s="69"/>
      <c r="C45" s="69"/>
    </row>
    <row r="46" spans="1:3" ht="18" customHeight="1" x14ac:dyDescent="0.2">
      <c r="A46" s="69"/>
      <c r="B46" s="69"/>
      <c r="C46" s="69"/>
    </row>
    <row r="47" spans="1:3" ht="18" customHeight="1" x14ac:dyDescent="0.2">
      <c r="A47" s="69"/>
      <c r="B47" s="69"/>
      <c r="C47" s="69"/>
    </row>
    <row r="48" spans="1:3" ht="18" customHeight="1" x14ac:dyDescent="0.2">
      <c r="A48" s="69"/>
      <c r="B48" s="69"/>
      <c r="C48" s="69"/>
    </row>
    <row r="49" spans="1:4" ht="18" customHeight="1" x14ac:dyDescent="0.2">
      <c r="A49" s="69"/>
      <c r="B49" s="69"/>
      <c r="C49" s="69"/>
    </row>
    <row r="50" spans="1:4" ht="18" customHeight="1" x14ac:dyDescent="0.2">
      <c r="A50" s="69"/>
      <c r="B50" s="69"/>
      <c r="C50" s="69"/>
    </row>
    <row r="51" spans="1:4" ht="18" customHeight="1" x14ac:dyDescent="0.2">
      <c r="A51" s="70"/>
      <c r="B51" s="70"/>
      <c r="C51" s="70"/>
    </row>
    <row r="52" spans="1:4" ht="18" customHeight="1" x14ac:dyDescent="0.2">
      <c r="A52" s="71"/>
      <c r="B52" s="71"/>
      <c r="C52" s="71"/>
    </row>
    <row r="53" spans="1:4" ht="18" customHeight="1" x14ac:dyDescent="0.2">
      <c r="A53" s="72"/>
      <c r="B53" s="72"/>
      <c r="C53" s="72"/>
    </row>
    <row r="54" spans="1:4" ht="18" customHeight="1" x14ac:dyDescent="0.2">
      <c r="A54" s="68"/>
      <c r="B54" s="68"/>
      <c r="C54" s="68"/>
    </row>
    <row r="55" spans="1:4" ht="18" customHeight="1" x14ac:dyDescent="0.2">
      <c r="A55" s="68"/>
      <c r="B55" s="68"/>
      <c r="C55" s="68"/>
    </row>
    <row r="56" spans="1:4" ht="15.95" customHeight="1" x14ac:dyDescent="0.2">
      <c r="A56" s="68"/>
      <c r="B56" s="68"/>
      <c r="C56" s="68"/>
    </row>
    <row r="57" spans="1:4" ht="15.95" customHeight="1" x14ac:dyDescent="0.2">
      <c r="A57" s="68"/>
      <c r="B57" s="68"/>
      <c r="C57" s="68"/>
    </row>
    <row r="59" spans="1:4" x14ac:dyDescent="0.2">
      <c r="D59" s="3"/>
    </row>
    <row r="60" spans="1:4" x14ac:dyDescent="0.2">
      <c r="D60" s="3"/>
    </row>
  </sheetData>
  <pageMargins left="0.74803149606299213" right="0.74803149606299213" top="0.31496062992125984" bottom="0.19685039370078741" header="0.39370078740157483" footer="0.19685039370078741"/>
  <pageSetup scale="73" orientation="portrait" horizontalDpi="4294967293" verticalDpi="72" r:id="rId1"/>
  <headerFooter>
    <oddFooter>Page &amp;P of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46"/>
  <sheetViews>
    <sheetView tabSelected="1" topLeftCell="A4" workbookViewId="0">
      <selection activeCell="E18" sqref="E18"/>
    </sheetView>
  </sheetViews>
  <sheetFormatPr baseColWidth="10" defaultRowHeight="12.75" x14ac:dyDescent="0.2"/>
  <cols>
    <col min="1" max="1" width="4.5703125" style="4" customWidth="1"/>
    <col min="2" max="2" width="13.85546875" style="4" customWidth="1"/>
    <col min="3" max="4" width="10.7109375" style="4" customWidth="1"/>
    <col min="5" max="5" width="10.7109375" style="5" customWidth="1"/>
    <col min="6" max="6" width="10.7109375" style="6" customWidth="1"/>
    <col min="7" max="7" width="11" style="4" customWidth="1"/>
    <col min="8" max="8" width="10" style="4" customWidth="1"/>
    <col min="9" max="9" width="10.140625" style="4" customWidth="1"/>
    <col min="10" max="10" width="11.42578125" style="4" customWidth="1"/>
    <col min="11" max="11" width="11.7109375" style="4" bestFit="1" customWidth="1"/>
    <col min="12" max="12" width="8.5703125" style="4" customWidth="1"/>
    <col min="13" max="13" width="10.140625" style="4" bestFit="1" customWidth="1"/>
    <col min="14" max="14" width="12.28515625" style="4" customWidth="1"/>
    <col min="15" max="15" width="10.5703125" style="4" customWidth="1"/>
    <col min="16" max="16" width="11.28515625" style="4" customWidth="1"/>
    <col min="17" max="17" width="10.140625" style="4" bestFit="1" customWidth="1"/>
    <col min="18" max="18" width="11.140625" style="4" customWidth="1"/>
    <col min="19" max="19" width="13.28515625" style="4" customWidth="1"/>
    <col min="20" max="21" width="8" style="4" customWidth="1"/>
    <col min="22" max="16384" width="11.42578125" style="4"/>
  </cols>
  <sheetData>
    <row r="1" spans="1:25" x14ac:dyDescent="0.2">
      <c r="A1" s="4" t="s">
        <v>41</v>
      </c>
      <c r="P1" s="73"/>
      <c r="Q1" s="73"/>
      <c r="R1" s="73"/>
      <c r="S1" s="73"/>
    </row>
    <row r="2" spans="1:25" x14ac:dyDescent="0.2">
      <c r="A2" s="4" t="s">
        <v>43</v>
      </c>
      <c r="P2" s="73"/>
      <c r="Q2" s="80" t="s">
        <v>4</v>
      </c>
      <c r="R2" s="74" t="s">
        <v>5</v>
      </c>
      <c r="S2" s="74" t="s">
        <v>6</v>
      </c>
    </row>
    <row r="3" spans="1:25" x14ac:dyDescent="0.2">
      <c r="A3" s="4" t="s">
        <v>1</v>
      </c>
      <c r="P3" s="73"/>
      <c r="Q3" s="80"/>
      <c r="R3" s="75">
        <v>0.16666666666666666</v>
      </c>
      <c r="S3" s="76">
        <v>0.5</v>
      </c>
    </row>
    <row r="4" spans="1:25" x14ac:dyDescent="0.2">
      <c r="P4" s="73"/>
      <c r="Q4" s="73"/>
      <c r="R4" s="74"/>
      <c r="S4" s="74"/>
    </row>
    <row r="5" spans="1:25" ht="13.5" thickBot="1" x14ac:dyDescent="0.25">
      <c r="S5" s="8"/>
    </row>
    <row r="6" spans="1:25" ht="13.5" thickBot="1" x14ac:dyDescent="0.25">
      <c r="A6" s="81" t="s">
        <v>7</v>
      </c>
      <c r="B6" s="81" t="s">
        <v>8</v>
      </c>
      <c r="C6" s="81" t="s">
        <v>2</v>
      </c>
      <c r="D6" s="81" t="s">
        <v>3</v>
      </c>
      <c r="E6" s="82" t="s">
        <v>9</v>
      </c>
      <c r="F6" s="83" t="s">
        <v>10</v>
      </c>
      <c r="G6" s="84" t="s">
        <v>11</v>
      </c>
      <c r="H6" s="85"/>
      <c r="I6" s="85"/>
      <c r="J6" s="85"/>
      <c r="K6" s="85"/>
      <c r="L6" s="86"/>
      <c r="M6" s="87" t="s">
        <v>12</v>
      </c>
      <c r="N6" s="87"/>
      <c r="O6" s="87"/>
      <c r="P6" s="87"/>
      <c r="Q6" s="87"/>
      <c r="R6" s="87"/>
      <c r="S6" s="88"/>
    </row>
    <row r="7" spans="1:25" ht="51" x14ac:dyDescent="0.2">
      <c r="A7" s="81"/>
      <c r="B7" s="81"/>
      <c r="C7" s="81"/>
      <c r="D7" s="81"/>
      <c r="E7" s="82"/>
      <c r="F7" s="83"/>
      <c r="G7" s="9" t="s">
        <v>2</v>
      </c>
      <c r="H7" s="10" t="s">
        <v>3</v>
      </c>
      <c r="I7" s="10" t="s">
        <v>13</v>
      </c>
      <c r="J7" s="10" t="s">
        <v>14</v>
      </c>
      <c r="K7" s="11" t="s">
        <v>15</v>
      </c>
      <c r="L7" s="12" t="s">
        <v>13</v>
      </c>
      <c r="M7" s="13" t="s">
        <v>16</v>
      </c>
      <c r="N7" s="14" t="s">
        <v>17</v>
      </c>
      <c r="O7" s="14" t="s">
        <v>18</v>
      </c>
      <c r="P7" s="14" t="s">
        <v>19</v>
      </c>
      <c r="Q7" s="14" t="s">
        <v>20</v>
      </c>
      <c r="R7" s="14" t="s">
        <v>21</v>
      </c>
      <c r="S7" s="14" t="s">
        <v>22</v>
      </c>
    </row>
    <row r="8" spans="1:25" x14ac:dyDescent="0.2">
      <c r="A8" s="15" t="s">
        <v>0</v>
      </c>
      <c r="B8" s="16">
        <v>46174</v>
      </c>
      <c r="C8" s="17">
        <v>0.16666666666666666</v>
      </c>
      <c r="D8" s="17">
        <v>0.51041666666666663</v>
      </c>
      <c r="E8" s="18">
        <v>0.1111111111111111</v>
      </c>
      <c r="F8" s="19">
        <v>0.50208333333333333</v>
      </c>
      <c r="G8" s="20">
        <f t="shared" ref="G8:G12" si="0">IF(C8-E8&gt;0,+C8-E8,0)</f>
        <v>5.5555555555555552E-2</v>
      </c>
      <c r="H8" s="7">
        <f t="shared" ref="H8:H12" si="1">IF(F8-D8&gt;0,+F8-D8,0)</f>
        <v>0</v>
      </c>
      <c r="I8" s="7">
        <f t="shared" ref="I8:I12" si="2">SUM(G8:H8)</f>
        <v>5.5555555555555552E-2</v>
      </c>
      <c r="J8" s="21">
        <f t="shared" ref="J8:J12" si="3">IF(C8-E8&lt;0,+(+C8-E8)*-1,0)</f>
        <v>0</v>
      </c>
      <c r="K8" s="7">
        <f t="shared" ref="K8:K12" si="4">IF(F8-D8&lt;0,+(+F8-D8)*-1,0)</f>
        <v>8.3333333333333037E-3</v>
      </c>
      <c r="L8" s="22">
        <f t="shared" ref="L8:L12" si="5">+J8+K8</f>
        <v>8.3333333333333037E-3</v>
      </c>
      <c r="M8" s="23">
        <v>0.25</v>
      </c>
      <c r="N8" s="7">
        <f t="shared" ref="N8:N12" si="6">IF(M8-E8&gt;0,M8-E8,0)</f>
        <v>0.1388888888888889</v>
      </c>
      <c r="O8" s="24">
        <f t="shared" ref="O8:O12" si="7">+F8-E8</f>
        <v>0.39097222222222222</v>
      </c>
      <c r="P8" s="24">
        <v>0.33333333333333331</v>
      </c>
      <c r="Q8" s="7">
        <v>1.0416666666666666E-2</v>
      </c>
      <c r="R8" s="24">
        <f t="shared" ref="R8:R12" si="8">IF(O8-P8-Q8&gt;0,(O8-P8-Q8),0)</f>
        <v>4.7222222222222242E-2</v>
      </c>
      <c r="S8" s="25"/>
    </row>
    <row r="9" spans="1:25" x14ac:dyDescent="0.2">
      <c r="A9" s="15" t="s">
        <v>0</v>
      </c>
      <c r="B9" s="16">
        <v>46175</v>
      </c>
      <c r="C9" s="17">
        <v>0.16666666666666666</v>
      </c>
      <c r="D9" s="17">
        <v>0.51041666666666663</v>
      </c>
      <c r="E9" s="18">
        <v>0.11180555555555556</v>
      </c>
      <c r="F9" s="19">
        <v>0.50486111111111109</v>
      </c>
      <c r="G9" s="20">
        <f t="shared" si="0"/>
        <v>5.4861111111111097E-2</v>
      </c>
      <c r="H9" s="7">
        <f t="shared" si="1"/>
        <v>0</v>
      </c>
      <c r="I9" s="7">
        <f t="shared" si="2"/>
        <v>5.4861111111111097E-2</v>
      </c>
      <c r="J9" s="21">
        <f t="shared" si="3"/>
        <v>0</v>
      </c>
      <c r="K9" s="7">
        <f t="shared" si="4"/>
        <v>5.5555555555555358E-3</v>
      </c>
      <c r="L9" s="22">
        <f t="shared" si="5"/>
        <v>5.5555555555555358E-3</v>
      </c>
      <c r="M9" s="23">
        <v>0.25</v>
      </c>
      <c r="N9" s="7">
        <f t="shared" si="6"/>
        <v>0.13819444444444445</v>
      </c>
      <c r="O9" s="24">
        <f t="shared" si="7"/>
        <v>0.39305555555555555</v>
      </c>
      <c r="P9" s="24">
        <v>0.33333333333333331</v>
      </c>
      <c r="Q9" s="7">
        <v>1.0416666666666666E-2</v>
      </c>
      <c r="R9" s="24">
        <f t="shared" si="8"/>
        <v>4.9305555555555568E-2</v>
      </c>
      <c r="S9" s="25"/>
    </row>
    <row r="10" spans="1:25" x14ac:dyDescent="0.2">
      <c r="A10" s="15" t="s">
        <v>0</v>
      </c>
      <c r="B10" s="16">
        <v>46176</v>
      </c>
      <c r="C10" s="17">
        <v>0.16666666666666666</v>
      </c>
      <c r="D10" s="17">
        <v>0.51041666666666663</v>
      </c>
      <c r="E10" s="18">
        <v>0.1125</v>
      </c>
      <c r="F10" s="19">
        <v>0.51666666666666672</v>
      </c>
      <c r="G10" s="20">
        <f t="shared" si="0"/>
        <v>5.4166666666666655E-2</v>
      </c>
      <c r="H10" s="7">
        <f t="shared" si="1"/>
        <v>6.2500000000000888E-3</v>
      </c>
      <c r="I10" s="7">
        <f t="shared" si="2"/>
        <v>6.0416666666666743E-2</v>
      </c>
      <c r="J10" s="21">
        <f t="shared" si="3"/>
        <v>0</v>
      </c>
      <c r="K10" s="7">
        <f t="shared" si="4"/>
        <v>0</v>
      </c>
      <c r="L10" s="22">
        <f t="shared" si="5"/>
        <v>0</v>
      </c>
      <c r="M10" s="23">
        <v>0.25</v>
      </c>
      <c r="N10" s="7">
        <f t="shared" si="6"/>
        <v>0.13750000000000001</v>
      </c>
      <c r="O10" s="24">
        <f t="shared" si="7"/>
        <v>0.40416666666666673</v>
      </c>
      <c r="P10" s="24">
        <v>0.33333333333333331</v>
      </c>
      <c r="Q10" s="7">
        <v>1.0416666666666666E-2</v>
      </c>
      <c r="R10" s="24">
        <f t="shared" si="8"/>
        <v>6.041666666666675E-2</v>
      </c>
      <c r="S10" s="25"/>
    </row>
    <row r="11" spans="1:25" x14ac:dyDescent="0.2">
      <c r="A11" s="15" t="s">
        <v>0</v>
      </c>
      <c r="B11" s="16">
        <v>46177</v>
      </c>
      <c r="C11" s="17">
        <v>0.16666666666666666</v>
      </c>
      <c r="D11" s="17">
        <v>0.51041666666666663</v>
      </c>
      <c r="E11" s="18">
        <v>0.11319444444444444</v>
      </c>
      <c r="F11" s="19">
        <v>0.49513888888888891</v>
      </c>
      <c r="G11" s="20">
        <f t="shared" si="0"/>
        <v>5.3472222222222213E-2</v>
      </c>
      <c r="H11" s="7">
        <f t="shared" si="1"/>
        <v>0</v>
      </c>
      <c r="I11" s="7">
        <f t="shared" si="2"/>
        <v>5.3472222222222213E-2</v>
      </c>
      <c r="J11" s="21">
        <f t="shared" si="3"/>
        <v>0</v>
      </c>
      <c r="K11" s="7">
        <f t="shared" si="4"/>
        <v>1.5277777777777724E-2</v>
      </c>
      <c r="L11" s="22">
        <f t="shared" si="5"/>
        <v>1.5277777777777724E-2</v>
      </c>
      <c r="M11" s="23">
        <v>0.25</v>
      </c>
      <c r="N11" s="7">
        <f t="shared" si="6"/>
        <v>0.13680555555555557</v>
      </c>
      <c r="O11" s="24">
        <f t="shared" si="7"/>
        <v>0.38194444444444448</v>
      </c>
      <c r="P11" s="24">
        <v>0.33333333333333331</v>
      </c>
      <c r="Q11" s="7">
        <v>1.0416666666666666E-2</v>
      </c>
      <c r="R11" s="24">
        <f t="shared" si="8"/>
        <v>3.8194444444444496E-2</v>
      </c>
      <c r="S11" s="25"/>
    </row>
    <row r="12" spans="1:25" x14ac:dyDescent="0.2">
      <c r="A12" s="15" t="s">
        <v>0</v>
      </c>
      <c r="B12" s="16">
        <v>46178</v>
      </c>
      <c r="C12" s="17">
        <v>0.16666666666666666</v>
      </c>
      <c r="D12" s="17">
        <v>0.51041666666666663</v>
      </c>
      <c r="E12" s="18">
        <v>0.11458333333333333</v>
      </c>
      <c r="F12" s="19">
        <v>0.51875000000000004</v>
      </c>
      <c r="G12" s="20">
        <f t="shared" si="0"/>
        <v>5.2083333333333329E-2</v>
      </c>
      <c r="H12" s="7">
        <f t="shared" si="1"/>
        <v>8.3333333333334147E-3</v>
      </c>
      <c r="I12" s="7">
        <f t="shared" si="2"/>
        <v>6.0416666666666743E-2</v>
      </c>
      <c r="J12" s="21">
        <f t="shared" si="3"/>
        <v>0</v>
      </c>
      <c r="K12" s="7">
        <f t="shared" si="4"/>
        <v>0</v>
      </c>
      <c r="L12" s="22">
        <f t="shared" si="5"/>
        <v>0</v>
      </c>
      <c r="M12" s="23">
        <v>0.25</v>
      </c>
      <c r="N12" s="7">
        <f t="shared" si="6"/>
        <v>0.13541666666666669</v>
      </c>
      <c r="O12" s="24">
        <f t="shared" si="7"/>
        <v>0.40416666666666673</v>
      </c>
      <c r="P12" s="24">
        <v>0.33333333333333331</v>
      </c>
      <c r="Q12" s="7">
        <v>1.0416666666666666E-2</v>
      </c>
      <c r="R12" s="24">
        <f t="shared" si="8"/>
        <v>6.041666666666675E-2</v>
      </c>
      <c r="S12" s="25"/>
    </row>
    <row r="13" spans="1:25" x14ac:dyDescent="0.2">
      <c r="A13" s="26" t="s">
        <v>0</v>
      </c>
      <c r="B13" s="27">
        <v>46179</v>
      </c>
      <c r="C13" s="28">
        <v>0.16666666666666666</v>
      </c>
      <c r="D13" s="28">
        <v>0.51041666666666663</v>
      </c>
      <c r="E13" s="29">
        <v>0.1125</v>
      </c>
      <c r="F13" s="30">
        <v>0.5229166666666667</v>
      </c>
      <c r="G13" s="31">
        <f t="shared" ref="G13:G18" si="9">IF(C13-E13&gt;0,+C13-E13,0)</f>
        <v>5.4166666666666655E-2</v>
      </c>
      <c r="H13" s="32">
        <f t="shared" ref="H13:H18" si="10">IF(F13-D13&gt;0,+F13-D13,0)</f>
        <v>1.2500000000000067E-2</v>
      </c>
      <c r="I13" s="32">
        <f t="shared" ref="I13:I18" si="11">SUM(G13:H13)</f>
        <v>6.6666666666666721E-2</v>
      </c>
      <c r="J13" s="33">
        <f t="shared" ref="J13:J18" si="12">IF(C13-E13&lt;0,+(+C13-E13)*-1,0)</f>
        <v>0</v>
      </c>
      <c r="K13" s="32">
        <f t="shared" ref="K13:K18" si="13">IF(F13-D13&lt;0,+(+F13-D13)*-1,0)</f>
        <v>0</v>
      </c>
      <c r="L13" s="34">
        <f t="shared" ref="L13:L18" si="14">+J13+K13</f>
        <v>0</v>
      </c>
      <c r="M13" s="35"/>
      <c r="N13" s="32"/>
      <c r="O13" s="36">
        <f t="shared" ref="O13:O18" si="15">+F13-E13</f>
        <v>0.41041666666666671</v>
      </c>
      <c r="P13" s="36"/>
      <c r="Q13" s="32"/>
      <c r="R13" s="36"/>
      <c r="S13" s="36">
        <f t="shared" ref="S13" si="16">+F13-E13</f>
        <v>0.41041666666666671</v>
      </c>
      <c r="Y13" s="8"/>
    </row>
    <row r="14" spans="1:25" x14ac:dyDescent="0.2">
      <c r="A14" s="15" t="s">
        <v>0</v>
      </c>
      <c r="B14" s="16">
        <v>46181</v>
      </c>
      <c r="C14" s="17">
        <v>0.16666666666666666</v>
      </c>
      <c r="D14" s="17">
        <v>0.51041666666666663</v>
      </c>
      <c r="E14" s="18">
        <v>0.11180555555555556</v>
      </c>
      <c r="F14" s="19">
        <v>0.50763888888888886</v>
      </c>
      <c r="G14" s="20">
        <f t="shared" si="9"/>
        <v>5.4861111111111097E-2</v>
      </c>
      <c r="H14" s="7">
        <f t="shared" si="10"/>
        <v>0</v>
      </c>
      <c r="I14" s="7">
        <f t="shared" si="11"/>
        <v>5.4861111111111097E-2</v>
      </c>
      <c r="J14" s="21">
        <f t="shared" si="12"/>
        <v>0</v>
      </c>
      <c r="K14" s="7">
        <f t="shared" si="13"/>
        <v>2.7777777777777679E-3</v>
      </c>
      <c r="L14" s="22">
        <f t="shared" si="14"/>
        <v>2.7777777777777679E-3</v>
      </c>
      <c r="M14" s="23">
        <v>0.25</v>
      </c>
      <c r="N14" s="7">
        <f t="shared" ref="N14:N18" si="17">IF(M14-E14&gt;0,M14-E14,0)</f>
        <v>0.13819444444444445</v>
      </c>
      <c r="O14" s="24">
        <f t="shared" si="15"/>
        <v>0.39583333333333331</v>
      </c>
      <c r="P14" s="24">
        <v>0.33333333333333331</v>
      </c>
      <c r="Q14" s="7">
        <v>1.0416666666666666E-2</v>
      </c>
      <c r="R14" s="24">
        <f t="shared" ref="R14:R18" si="18">IF(O14-P14-Q14&gt;0,(O14-P14-Q14),0)</f>
        <v>5.2083333333333336E-2</v>
      </c>
      <c r="S14" s="25"/>
    </row>
    <row r="15" spans="1:25" x14ac:dyDescent="0.2">
      <c r="A15" s="15" t="s">
        <v>0</v>
      </c>
      <c r="B15" s="16">
        <v>46182</v>
      </c>
      <c r="C15" s="17">
        <v>0.16666666666666666</v>
      </c>
      <c r="D15" s="17">
        <v>0.51041666666666663</v>
      </c>
      <c r="E15" s="18">
        <v>0.1125</v>
      </c>
      <c r="F15" s="19">
        <v>0.51597222222222228</v>
      </c>
      <c r="G15" s="20">
        <f t="shared" si="9"/>
        <v>5.4166666666666655E-2</v>
      </c>
      <c r="H15" s="7">
        <f t="shared" si="10"/>
        <v>5.5555555555556468E-3</v>
      </c>
      <c r="I15" s="7">
        <f t="shared" si="11"/>
        <v>5.9722222222222301E-2</v>
      </c>
      <c r="J15" s="21">
        <f t="shared" si="12"/>
        <v>0</v>
      </c>
      <c r="K15" s="7">
        <f t="shared" si="13"/>
        <v>0</v>
      </c>
      <c r="L15" s="22">
        <f t="shared" si="14"/>
        <v>0</v>
      </c>
      <c r="M15" s="23">
        <v>0.25</v>
      </c>
      <c r="N15" s="7">
        <f t="shared" si="17"/>
        <v>0.13750000000000001</v>
      </c>
      <c r="O15" s="24">
        <f t="shared" si="15"/>
        <v>0.40347222222222229</v>
      </c>
      <c r="P15" s="24">
        <v>0.33333333333333331</v>
      </c>
      <c r="Q15" s="7">
        <v>1.0416666666666666E-2</v>
      </c>
      <c r="R15" s="24">
        <f t="shared" si="18"/>
        <v>5.9722222222222308E-2</v>
      </c>
      <c r="S15" s="25"/>
    </row>
    <row r="16" spans="1:25" x14ac:dyDescent="0.2">
      <c r="A16" s="15" t="s">
        <v>0</v>
      </c>
      <c r="B16" s="16">
        <v>46183</v>
      </c>
      <c r="C16" s="17">
        <v>0.16666666666666666</v>
      </c>
      <c r="D16" s="17">
        <v>0.51041666666666663</v>
      </c>
      <c r="E16" s="18">
        <v>0.11458333333333333</v>
      </c>
      <c r="F16" s="19">
        <v>0.30069444444444443</v>
      </c>
      <c r="G16" s="20">
        <f t="shared" si="9"/>
        <v>5.2083333333333329E-2</v>
      </c>
      <c r="H16" s="7">
        <f t="shared" si="10"/>
        <v>0</v>
      </c>
      <c r="I16" s="7">
        <f t="shared" si="11"/>
        <v>5.2083333333333329E-2</v>
      </c>
      <c r="J16" s="21">
        <f t="shared" si="12"/>
        <v>0</v>
      </c>
      <c r="K16" s="7">
        <f t="shared" si="13"/>
        <v>0.2097222222222222</v>
      </c>
      <c r="L16" s="22">
        <f t="shared" si="14"/>
        <v>0.2097222222222222</v>
      </c>
      <c r="M16" s="23">
        <v>0.25</v>
      </c>
      <c r="N16" s="7">
        <f t="shared" si="17"/>
        <v>0.13541666666666669</v>
      </c>
      <c r="O16" s="24">
        <f t="shared" si="15"/>
        <v>0.18611111111111112</v>
      </c>
      <c r="P16" s="24">
        <v>0.33333333333333331</v>
      </c>
      <c r="Q16" s="7">
        <v>1.0416666666666666E-2</v>
      </c>
      <c r="R16" s="24">
        <f t="shared" si="18"/>
        <v>0</v>
      </c>
      <c r="S16" s="25"/>
    </row>
    <row r="17" spans="1:25" x14ac:dyDescent="0.2">
      <c r="A17" s="15" t="s">
        <v>0</v>
      </c>
      <c r="B17" s="16">
        <v>46184</v>
      </c>
      <c r="C17" s="17">
        <v>0.16666666666666666</v>
      </c>
      <c r="D17" s="17">
        <v>0.51041666666666663</v>
      </c>
      <c r="E17" s="18">
        <v>0.11041666666666666</v>
      </c>
      <c r="F17" s="19">
        <v>0.51111111111111107</v>
      </c>
      <c r="G17" s="20">
        <f t="shared" si="9"/>
        <v>5.6249999999999994E-2</v>
      </c>
      <c r="H17" s="7">
        <f t="shared" si="10"/>
        <v>6.9444444444444198E-4</v>
      </c>
      <c r="I17" s="7">
        <f t="shared" si="11"/>
        <v>5.6944444444444436E-2</v>
      </c>
      <c r="J17" s="21">
        <f t="shared" si="12"/>
        <v>0</v>
      </c>
      <c r="K17" s="7">
        <f t="shared" si="13"/>
        <v>0</v>
      </c>
      <c r="L17" s="22">
        <f t="shared" si="14"/>
        <v>0</v>
      </c>
      <c r="M17" s="23">
        <v>0.25</v>
      </c>
      <c r="N17" s="7">
        <f t="shared" si="17"/>
        <v>0.13958333333333334</v>
      </c>
      <c r="O17" s="24">
        <f t="shared" si="15"/>
        <v>0.40069444444444441</v>
      </c>
      <c r="P17" s="24">
        <v>0.33333333333333331</v>
      </c>
      <c r="Q17" s="7">
        <v>1.0416666666666666E-2</v>
      </c>
      <c r="R17" s="24">
        <f t="shared" si="18"/>
        <v>5.6944444444444429E-2</v>
      </c>
      <c r="S17" s="25"/>
    </row>
    <row r="18" spans="1:25" x14ac:dyDescent="0.2">
      <c r="A18" s="15" t="s">
        <v>0</v>
      </c>
      <c r="B18" s="16">
        <v>46185</v>
      </c>
      <c r="C18" s="17">
        <v>0.16666666666666666</v>
      </c>
      <c r="D18" s="17">
        <v>0.51041666666666663</v>
      </c>
      <c r="E18" s="18"/>
      <c r="F18" s="19"/>
      <c r="G18" s="20">
        <f t="shared" si="9"/>
        <v>0.16666666666666666</v>
      </c>
      <c r="H18" s="7">
        <f t="shared" si="10"/>
        <v>0</v>
      </c>
      <c r="I18" s="7">
        <f t="shared" si="11"/>
        <v>0.16666666666666666</v>
      </c>
      <c r="J18" s="21">
        <f t="shared" si="12"/>
        <v>0</v>
      </c>
      <c r="K18" s="7">
        <f t="shared" si="13"/>
        <v>0.51041666666666663</v>
      </c>
      <c r="L18" s="22">
        <f t="shared" si="14"/>
        <v>0.51041666666666663</v>
      </c>
      <c r="M18" s="23">
        <v>0.25</v>
      </c>
      <c r="N18" s="7">
        <f t="shared" si="17"/>
        <v>0.25</v>
      </c>
      <c r="O18" s="24">
        <f t="shared" si="15"/>
        <v>0</v>
      </c>
      <c r="P18" s="24">
        <v>0.33333333333333331</v>
      </c>
      <c r="Q18" s="7">
        <v>1.0416666666666666E-2</v>
      </c>
      <c r="R18" s="24">
        <f t="shared" si="18"/>
        <v>0</v>
      </c>
      <c r="S18" s="25"/>
    </row>
    <row r="19" spans="1:25" x14ac:dyDescent="0.2">
      <c r="A19" s="26" t="s">
        <v>0</v>
      </c>
      <c r="B19" s="27">
        <v>46186</v>
      </c>
      <c r="C19" s="28">
        <v>0.16666666666666666</v>
      </c>
      <c r="D19" s="28">
        <v>0.51041666666666663</v>
      </c>
      <c r="E19" s="29"/>
      <c r="F19" s="30"/>
      <c r="G19" s="31">
        <f t="shared" ref="G19:G21" si="19">IF(C19-E19&gt;0,+C19-E19,0)</f>
        <v>0.16666666666666666</v>
      </c>
      <c r="H19" s="32">
        <f t="shared" ref="H19:H21" si="20">IF(F19-D19&gt;0,+F19-D19,0)</f>
        <v>0</v>
      </c>
      <c r="I19" s="32">
        <f t="shared" ref="I19:I21" si="21">SUM(G19:H19)</f>
        <v>0.16666666666666666</v>
      </c>
      <c r="J19" s="33">
        <f t="shared" ref="J19:J21" si="22">IF(C19-E19&lt;0,+(+C19-E19)*-1,0)</f>
        <v>0</v>
      </c>
      <c r="K19" s="32">
        <f t="shared" ref="K19:K21" si="23">IF(F19-D19&lt;0,+(+F19-D19)*-1,0)</f>
        <v>0.51041666666666663</v>
      </c>
      <c r="L19" s="34">
        <f t="shared" ref="L19:L21" si="24">+J19+K19</f>
        <v>0.51041666666666663</v>
      </c>
      <c r="M19" s="35"/>
      <c r="N19" s="32"/>
      <c r="O19" s="36">
        <f t="shared" ref="O19:O21" si="25">+F19-E19</f>
        <v>0</v>
      </c>
      <c r="P19" s="36"/>
      <c r="Q19" s="32"/>
      <c r="R19" s="36"/>
      <c r="S19" s="36">
        <f t="shared" ref="S19" si="26">+F19-E19</f>
        <v>0</v>
      </c>
      <c r="Y19" s="8"/>
    </row>
    <row r="20" spans="1:25" x14ac:dyDescent="0.2">
      <c r="A20" s="15" t="s">
        <v>0</v>
      </c>
      <c r="B20" s="16">
        <v>46188</v>
      </c>
      <c r="C20" s="17">
        <v>0.16666666666666666</v>
      </c>
      <c r="D20" s="17">
        <v>0.51041666666666663</v>
      </c>
      <c r="E20" s="18"/>
      <c r="F20" s="19"/>
      <c r="G20" s="20">
        <f t="shared" si="19"/>
        <v>0.16666666666666666</v>
      </c>
      <c r="H20" s="7">
        <f t="shared" si="20"/>
        <v>0</v>
      </c>
      <c r="I20" s="7">
        <f t="shared" si="21"/>
        <v>0.16666666666666666</v>
      </c>
      <c r="J20" s="21">
        <f t="shared" si="22"/>
        <v>0</v>
      </c>
      <c r="K20" s="7">
        <f t="shared" si="23"/>
        <v>0.51041666666666663</v>
      </c>
      <c r="L20" s="22">
        <f t="shared" si="24"/>
        <v>0.51041666666666663</v>
      </c>
      <c r="M20" s="23">
        <v>0.25</v>
      </c>
      <c r="N20" s="7">
        <f t="shared" ref="N20:N21" si="27">IF(M20-E20&gt;0,M20-E20,0)</f>
        <v>0.25</v>
      </c>
      <c r="O20" s="24">
        <f t="shared" si="25"/>
        <v>0</v>
      </c>
      <c r="P20" s="24">
        <v>0.33333333333333331</v>
      </c>
      <c r="Q20" s="7">
        <v>1.0416666666666666E-2</v>
      </c>
      <c r="R20" s="24">
        <f t="shared" ref="R20:R21" si="28">IF(O20-P20-Q20&gt;0,(O20-P20-Q20),0)</f>
        <v>0</v>
      </c>
      <c r="S20" s="25"/>
    </row>
    <row r="21" spans="1:25" x14ac:dyDescent="0.2">
      <c r="A21" s="15" t="s">
        <v>0</v>
      </c>
      <c r="B21" s="16">
        <v>46189</v>
      </c>
      <c r="C21" s="17">
        <v>0.16666666666666666</v>
      </c>
      <c r="D21" s="17">
        <v>0.51041666666666663</v>
      </c>
      <c r="E21" s="18"/>
      <c r="F21" s="19"/>
      <c r="G21" s="20">
        <f t="shared" si="19"/>
        <v>0.16666666666666666</v>
      </c>
      <c r="H21" s="7">
        <f t="shared" si="20"/>
        <v>0</v>
      </c>
      <c r="I21" s="7">
        <f t="shared" si="21"/>
        <v>0.16666666666666666</v>
      </c>
      <c r="J21" s="21">
        <f t="shared" si="22"/>
        <v>0</v>
      </c>
      <c r="K21" s="7">
        <f t="shared" si="23"/>
        <v>0.51041666666666663</v>
      </c>
      <c r="L21" s="22">
        <f t="shared" si="24"/>
        <v>0.51041666666666663</v>
      </c>
      <c r="M21" s="23">
        <v>0.25</v>
      </c>
      <c r="N21" s="7">
        <f t="shared" si="27"/>
        <v>0.25</v>
      </c>
      <c r="O21" s="24">
        <f t="shared" si="25"/>
        <v>0</v>
      </c>
      <c r="P21" s="24">
        <v>0.33333333333333331</v>
      </c>
      <c r="Q21" s="7">
        <v>1.0416666666666666E-2</v>
      </c>
      <c r="R21" s="24">
        <f t="shared" si="28"/>
        <v>0</v>
      </c>
      <c r="S21" s="25"/>
    </row>
    <row r="22" spans="1:25" x14ac:dyDescent="0.2">
      <c r="A22" s="15" t="s">
        <v>0</v>
      </c>
      <c r="B22" s="16">
        <v>46190</v>
      </c>
      <c r="C22" s="17">
        <v>0.16666666666666666</v>
      </c>
      <c r="D22" s="17">
        <v>0.51041666666666663</v>
      </c>
      <c r="E22" s="18"/>
      <c r="F22" s="19"/>
      <c r="G22" s="20">
        <f t="shared" ref="G22:G27" si="29">IF(C22-E22&gt;0,+C22-E22,0)</f>
        <v>0.16666666666666666</v>
      </c>
      <c r="H22" s="7">
        <f t="shared" ref="H22:H24" si="30">IF(F22-D22&gt;0,+F22-D22,0)</f>
        <v>0</v>
      </c>
      <c r="I22" s="7">
        <f t="shared" ref="I22:I24" si="31">SUM(G22:H22)</f>
        <v>0.16666666666666666</v>
      </c>
      <c r="J22" s="21">
        <f t="shared" ref="J22:J24" si="32">IF(C22-E22&lt;0,+(+C22-E22)*-1,0)</f>
        <v>0</v>
      </c>
      <c r="K22" s="7">
        <f t="shared" ref="K22:K24" si="33">IF(F22-D22&lt;0,+(+F22-D22)*-1,0)</f>
        <v>0.51041666666666663</v>
      </c>
      <c r="L22" s="22">
        <f t="shared" ref="L22:L24" si="34">+J22+K22</f>
        <v>0.51041666666666663</v>
      </c>
      <c r="M22" s="23">
        <v>0.25</v>
      </c>
      <c r="N22" s="7">
        <f t="shared" ref="N22:N24" si="35">IF(M22-E22&gt;0,M22-E22,0)</f>
        <v>0.25</v>
      </c>
      <c r="O22" s="24">
        <f t="shared" ref="O22:O24" si="36">+F22-E22</f>
        <v>0</v>
      </c>
      <c r="P22" s="24">
        <v>0.33333333333333331</v>
      </c>
      <c r="Q22" s="7">
        <v>1.0416666666666666E-2</v>
      </c>
      <c r="R22" s="24">
        <f t="shared" ref="R22:R24" si="37">IF(O22-P22-Q22&gt;0,(O22-P22-Q22),0)</f>
        <v>0</v>
      </c>
      <c r="S22" s="25"/>
    </row>
    <row r="23" spans="1:25" x14ac:dyDescent="0.2">
      <c r="A23" s="15" t="s">
        <v>0</v>
      </c>
      <c r="B23" s="16">
        <v>46191</v>
      </c>
      <c r="C23" s="17">
        <v>0.16666666666666666</v>
      </c>
      <c r="D23" s="17">
        <v>0.51041666666666663</v>
      </c>
      <c r="E23" s="18"/>
      <c r="F23" s="19"/>
      <c r="G23" s="20">
        <f t="shared" si="29"/>
        <v>0.16666666666666666</v>
      </c>
      <c r="H23" s="7">
        <f t="shared" si="30"/>
        <v>0</v>
      </c>
      <c r="I23" s="7">
        <f t="shared" si="31"/>
        <v>0.16666666666666666</v>
      </c>
      <c r="J23" s="21">
        <f t="shared" si="32"/>
        <v>0</v>
      </c>
      <c r="K23" s="7">
        <f t="shared" si="33"/>
        <v>0.51041666666666663</v>
      </c>
      <c r="L23" s="22">
        <f t="shared" si="34"/>
        <v>0.51041666666666663</v>
      </c>
      <c r="M23" s="23">
        <v>0.25</v>
      </c>
      <c r="N23" s="7">
        <f t="shared" si="35"/>
        <v>0.25</v>
      </c>
      <c r="O23" s="24">
        <f t="shared" si="36"/>
        <v>0</v>
      </c>
      <c r="P23" s="24">
        <v>0.33333333333333331</v>
      </c>
      <c r="Q23" s="7">
        <v>1.0416666666666666E-2</v>
      </c>
      <c r="R23" s="24">
        <f t="shared" si="37"/>
        <v>0</v>
      </c>
      <c r="S23" s="25"/>
    </row>
    <row r="24" spans="1:25" x14ac:dyDescent="0.2">
      <c r="A24" s="15" t="s">
        <v>0</v>
      </c>
      <c r="B24" s="16">
        <v>46192</v>
      </c>
      <c r="C24" s="17">
        <v>0.16666666666666666</v>
      </c>
      <c r="D24" s="17">
        <v>0.51041666666666663</v>
      </c>
      <c r="E24" s="18"/>
      <c r="F24" s="19"/>
      <c r="G24" s="20">
        <f t="shared" si="29"/>
        <v>0.16666666666666666</v>
      </c>
      <c r="H24" s="7">
        <f t="shared" si="30"/>
        <v>0</v>
      </c>
      <c r="I24" s="7">
        <f t="shared" si="31"/>
        <v>0.16666666666666666</v>
      </c>
      <c r="J24" s="21">
        <f t="shared" si="32"/>
        <v>0</v>
      </c>
      <c r="K24" s="7">
        <f t="shared" si="33"/>
        <v>0.51041666666666663</v>
      </c>
      <c r="L24" s="22">
        <f t="shared" si="34"/>
        <v>0.51041666666666663</v>
      </c>
      <c r="M24" s="23">
        <v>0.25</v>
      </c>
      <c r="N24" s="7">
        <f t="shared" si="35"/>
        <v>0.25</v>
      </c>
      <c r="O24" s="24">
        <f t="shared" si="36"/>
        <v>0</v>
      </c>
      <c r="P24" s="24">
        <v>0.33333333333333331</v>
      </c>
      <c r="Q24" s="7">
        <v>1.0416666666666666E-2</v>
      </c>
      <c r="R24" s="24">
        <f t="shared" si="37"/>
        <v>0</v>
      </c>
      <c r="S24" s="25"/>
    </row>
    <row r="25" spans="1:25" x14ac:dyDescent="0.2">
      <c r="A25" s="26" t="s">
        <v>0</v>
      </c>
      <c r="B25" s="27">
        <v>46193</v>
      </c>
      <c r="C25" s="28">
        <v>0.16666666666666666</v>
      </c>
      <c r="D25" s="28">
        <v>0.51041666666666663</v>
      </c>
      <c r="E25" s="29"/>
      <c r="F25" s="30"/>
      <c r="G25" s="31">
        <f t="shared" si="29"/>
        <v>0.16666666666666666</v>
      </c>
      <c r="H25" s="32">
        <f t="shared" ref="H25:H30" si="38">IF(F25-D25&gt;0,+F25-D25,0)</f>
        <v>0</v>
      </c>
      <c r="I25" s="32">
        <f t="shared" ref="I25:I30" si="39">SUM(G25:H25)</f>
        <v>0.16666666666666666</v>
      </c>
      <c r="J25" s="33">
        <f t="shared" ref="J25:J30" si="40">IF(C25-E25&lt;0,+(+C25-E25)*-1,0)</f>
        <v>0</v>
      </c>
      <c r="K25" s="32">
        <f t="shared" ref="K25:K30" si="41">IF(F25-D25&lt;0,+(+F25-D25)*-1,0)</f>
        <v>0.51041666666666663</v>
      </c>
      <c r="L25" s="34">
        <f t="shared" ref="L25:L30" si="42">+J25+K25</f>
        <v>0.51041666666666663</v>
      </c>
      <c r="M25" s="35"/>
      <c r="N25" s="32"/>
      <c r="O25" s="36">
        <f t="shared" ref="O25:O30" si="43">+F25-E25</f>
        <v>0</v>
      </c>
      <c r="P25" s="36"/>
      <c r="Q25" s="32"/>
      <c r="R25" s="36"/>
      <c r="S25" s="36">
        <f t="shared" ref="S25" si="44">+F25-E25</f>
        <v>0</v>
      </c>
      <c r="Y25" s="8"/>
    </row>
    <row r="26" spans="1:25" x14ac:dyDescent="0.2">
      <c r="A26" s="15" t="s">
        <v>0</v>
      </c>
      <c r="B26" s="16">
        <v>46195</v>
      </c>
      <c r="C26" s="17">
        <v>0.16666666666666666</v>
      </c>
      <c r="D26" s="17">
        <v>0.51041666666666663</v>
      </c>
      <c r="E26" s="18"/>
      <c r="F26" s="19"/>
      <c r="G26" s="20">
        <f t="shared" ref="G26" si="45">IF(C26-E26&gt;0,+C26-E26,0)</f>
        <v>0.16666666666666666</v>
      </c>
      <c r="H26" s="7">
        <f t="shared" si="38"/>
        <v>0</v>
      </c>
      <c r="I26" s="7">
        <f t="shared" si="39"/>
        <v>0.16666666666666666</v>
      </c>
      <c r="J26" s="21">
        <f t="shared" si="40"/>
        <v>0</v>
      </c>
      <c r="K26" s="7">
        <f t="shared" si="41"/>
        <v>0.51041666666666663</v>
      </c>
      <c r="L26" s="22">
        <f t="shared" si="42"/>
        <v>0.51041666666666663</v>
      </c>
      <c r="M26" s="23">
        <v>0.25</v>
      </c>
      <c r="N26" s="7">
        <f t="shared" ref="N26" si="46">IF(M26-E26&gt;0,M26-E26,0)</f>
        <v>0.25</v>
      </c>
      <c r="O26" s="24">
        <f t="shared" si="43"/>
        <v>0</v>
      </c>
      <c r="P26" s="24">
        <v>0.33333333333333331</v>
      </c>
      <c r="Q26" s="7">
        <v>1.0416666666666666E-2</v>
      </c>
      <c r="R26" s="24">
        <f t="shared" ref="R26" si="47">IF(O26-P26-Q26&gt;0,(O26-P26-Q26),0)</f>
        <v>0</v>
      </c>
      <c r="S26" s="25"/>
    </row>
    <row r="27" spans="1:25" x14ac:dyDescent="0.2">
      <c r="A27" s="15" t="s">
        <v>0</v>
      </c>
      <c r="B27" s="16">
        <v>46196</v>
      </c>
      <c r="C27" s="17">
        <v>0.16666666666666666</v>
      </c>
      <c r="D27" s="17">
        <v>0.51041666666666663</v>
      </c>
      <c r="E27" s="18"/>
      <c r="F27" s="19"/>
      <c r="G27" s="20">
        <f t="shared" si="29"/>
        <v>0.16666666666666666</v>
      </c>
      <c r="H27" s="7">
        <f t="shared" si="38"/>
        <v>0</v>
      </c>
      <c r="I27" s="7">
        <f t="shared" si="39"/>
        <v>0.16666666666666666</v>
      </c>
      <c r="J27" s="21">
        <f t="shared" si="40"/>
        <v>0</v>
      </c>
      <c r="K27" s="7">
        <f t="shared" si="41"/>
        <v>0.51041666666666663</v>
      </c>
      <c r="L27" s="22">
        <f t="shared" si="42"/>
        <v>0.51041666666666663</v>
      </c>
      <c r="M27" s="23">
        <v>0.25</v>
      </c>
      <c r="N27" s="7">
        <f t="shared" ref="N27:N30" si="48">IF(M27-E27&gt;0,M27-E27,0)</f>
        <v>0.25</v>
      </c>
      <c r="O27" s="24">
        <f t="shared" si="43"/>
        <v>0</v>
      </c>
      <c r="P27" s="24">
        <v>0.33333333333333331</v>
      </c>
      <c r="Q27" s="7">
        <v>1.0416666666666666E-2</v>
      </c>
      <c r="R27" s="24">
        <f t="shared" ref="R27:R30" si="49">IF(O27-P27-Q27&gt;0,(O27-P27-Q27),0)</f>
        <v>0</v>
      </c>
      <c r="S27" s="25"/>
    </row>
    <row r="28" spans="1:25" x14ac:dyDescent="0.2">
      <c r="A28" s="15" t="s">
        <v>0</v>
      </c>
      <c r="B28" s="16">
        <v>46197</v>
      </c>
      <c r="C28" s="17">
        <v>0.16666666666666666</v>
      </c>
      <c r="D28" s="17">
        <v>0.51041666666666663</v>
      </c>
      <c r="E28" s="18"/>
      <c r="F28" s="19"/>
      <c r="G28" s="20">
        <f t="shared" ref="G28:G33" si="50">IF(C28-E28&gt;0,+C28-E28,0)</f>
        <v>0.16666666666666666</v>
      </c>
      <c r="H28" s="7">
        <f t="shared" si="38"/>
        <v>0</v>
      </c>
      <c r="I28" s="7">
        <f t="shared" si="39"/>
        <v>0.16666666666666666</v>
      </c>
      <c r="J28" s="21">
        <f t="shared" si="40"/>
        <v>0</v>
      </c>
      <c r="K28" s="7">
        <f t="shared" si="41"/>
        <v>0.51041666666666663</v>
      </c>
      <c r="L28" s="22">
        <f t="shared" si="42"/>
        <v>0.51041666666666663</v>
      </c>
      <c r="M28" s="23">
        <v>0.25</v>
      </c>
      <c r="N28" s="7">
        <f t="shared" si="48"/>
        <v>0.25</v>
      </c>
      <c r="O28" s="24">
        <f t="shared" si="43"/>
        <v>0</v>
      </c>
      <c r="P28" s="24">
        <v>0.33333333333333331</v>
      </c>
      <c r="Q28" s="7">
        <v>1.0416666666666666E-2</v>
      </c>
      <c r="R28" s="24">
        <f t="shared" si="49"/>
        <v>0</v>
      </c>
      <c r="S28" s="25"/>
    </row>
    <row r="29" spans="1:25" x14ac:dyDescent="0.2">
      <c r="A29" s="15" t="s">
        <v>0</v>
      </c>
      <c r="B29" s="16">
        <v>46198</v>
      </c>
      <c r="C29" s="17">
        <v>0.16666666666666666</v>
      </c>
      <c r="D29" s="17">
        <v>0.51041666666666663</v>
      </c>
      <c r="E29" s="18"/>
      <c r="F29" s="19"/>
      <c r="G29" s="20">
        <f t="shared" si="50"/>
        <v>0.16666666666666666</v>
      </c>
      <c r="H29" s="7">
        <f t="shared" si="38"/>
        <v>0</v>
      </c>
      <c r="I29" s="7">
        <f t="shared" si="39"/>
        <v>0.16666666666666666</v>
      </c>
      <c r="J29" s="21">
        <f t="shared" si="40"/>
        <v>0</v>
      </c>
      <c r="K29" s="7">
        <f t="shared" si="41"/>
        <v>0.51041666666666663</v>
      </c>
      <c r="L29" s="22">
        <f t="shared" si="42"/>
        <v>0.51041666666666663</v>
      </c>
      <c r="M29" s="23">
        <v>0.25</v>
      </c>
      <c r="N29" s="7">
        <f t="shared" si="48"/>
        <v>0.25</v>
      </c>
      <c r="O29" s="24">
        <f t="shared" si="43"/>
        <v>0</v>
      </c>
      <c r="P29" s="24">
        <v>0.33333333333333331</v>
      </c>
      <c r="Q29" s="7">
        <v>1.0416666666666666E-2</v>
      </c>
      <c r="R29" s="24">
        <f t="shared" si="49"/>
        <v>0</v>
      </c>
      <c r="S29" s="25"/>
    </row>
    <row r="30" spans="1:25" x14ac:dyDescent="0.2">
      <c r="A30" s="15" t="s">
        <v>0</v>
      </c>
      <c r="B30" s="16">
        <v>46199</v>
      </c>
      <c r="C30" s="17">
        <v>0.16666666666666666</v>
      </c>
      <c r="D30" s="17">
        <v>0.51041666666666663</v>
      </c>
      <c r="E30" s="18"/>
      <c r="F30" s="19"/>
      <c r="G30" s="20">
        <f t="shared" si="50"/>
        <v>0.16666666666666666</v>
      </c>
      <c r="H30" s="7">
        <f t="shared" si="38"/>
        <v>0</v>
      </c>
      <c r="I30" s="7">
        <f t="shared" si="39"/>
        <v>0.16666666666666666</v>
      </c>
      <c r="J30" s="21">
        <f t="shared" si="40"/>
        <v>0</v>
      </c>
      <c r="K30" s="7">
        <f t="shared" si="41"/>
        <v>0.51041666666666663</v>
      </c>
      <c r="L30" s="22">
        <f t="shared" si="42"/>
        <v>0.51041666666666663</v>
      </c>
      <c r="M30" s="23">
        <v>0.25</v>
      </c>
      <c r="N30" s="7">
        <f t="shared" si="48"/>
        <v>0.25</v>
      </c>
      <c r="O30" s="24">
        <f t="shared" si="43"/>
        <v>0</v>
      </c>
      <c r="P30" s="24">
        <v>0.33333333333333331</v>
      </c>
      <c r="Q30" s="7">
        <v>1.0416666666666666E-2</v>
      </c>
      <c r="R30" s="24">
        <f t="shared" si="49"/>
        <v>0</v>
      </c>
      <c r="S30" s="25"/>
    </row>
    <row r="31" spans="1:25" x14ac:dyDescent="0.2">
      <c r="A31" s="26" t="s">
        <v>0</v>
      </c>
      <c r="B31" s="27">
        <v>46200</v>
      </c>
      <c r="C31" s="28">
        <v>0.16666666666666666</v>
      </c>
      <c r="D31" s="28">
        <v>0.51041666666666663</v>
      </c>
      <c r="E31" s="29"/>
      <c r="F31" s="30"/>
      <c r="G31" s="31">
        <f t="shared" si="50"/>
        <v>0.16666666666666666</v>
      </c>
      <c r="H31" s="32">
        <f t="shared" ref="H31:H33" si="51">IF(F31-D31&gt;0,+F31-D31,0)</f>
        <v>0</v>
      </c>
      <c r="I31" s="32">
        <f t="shared" ref="I31:I33" si="52">SUM(G31:H31)</f>
        <v>0.16666666666666666</v>
      </c>
      <c r="J31" s="33">
        <f t="shared" ref="J31:J33" si="53">IF(C31-E31&lt;0,+(+C31-E31)*-1,0)</f>
        <v>0</v>
      </c>
      <c r="K31" s="32">
        <f t="shared" ref="K31:K33" si="54">IF(F31-D31&lt;0,+(+F31-D31)*-1,0)</f>
        <v>0.51041666666666663</v>
      </c>
      <c r="L31" s="34">
        <f t="shared" ref="L31:L33" si="55">+J31+K31</f>
        <v>0.51041666666666663</v>
      </c>
      <c r="M31" s="35"/>
      <c r="N31" s="32"/>
      <c r="O31" s="36">
        <f t="shared" ref="O31:O33" si="56">+F31-E31</f>
        <v>0</v>
      </c>
      <c r="P31" s="36"/>
      <c r="Q31" s="32"/>
      <c r="R31" s="36"/>
      <c r="S31" s="36">
        <f t="shared" ref="S31" si="57">+F31-E31</f>
        <v>0</v>
      </c>
      <c r="Y31" s="8"/>
    </row>
    <row r="32" spans="1:25" x14ac:dyDescent="0.2">
      <c r="A32" s="15" t="s">
        <v>0</v>
      </c>
      <c r="B32" s="16">
        <v>46202</v>
      </c>
      <c r="C32" s="17">
        <v>0.16666666666666666</v>
      </c>
      <c r="D32" s="17">
        <v>0.51041666666666663</v>
      </c>
      <c r="E32" s="18"/>
      <c r="F32" s="19"/>
      <c r="G32" s="20">
        <f t="shared" si="50"/>
        <v>0.16666666666666666</v>
      </c>
      <c r="H32" s="7">
        <f t="shared" si="51"/>
        <v>0</v>
      </c>
      <c r="I32" s="7">
        <f t="shared" si="52"/>
        <v>0.16666666666666666</v>
      </c>
      <c r="J32" s="21">
        <f t="shared" si="53"/>
        <v>0</v>
      </c>
      <c r="K32" s="7">
        <f t="shared" si="54"/>
        <v>0.51041666666666663</v>
      </c>
      <c r="L32" s="22">
        <f t="shared" si="55"/>
        <v>0.51041666666666663</v>
      </c>
      <c r="M32" s="23">
        <v>0.25</v>
      </c>
      <c r="N32" s="7">
        <f t="shared" ref="N32:N33" si="58">IF(M32-E32&gt;0,M32-E32,0)</f>
        <v>0.25</v>
      </c>
      <c r="O32" s="24">
        <f t="shared" si="56"/>
        <v>0</v>
      </c>
      <c r="P32" s="24">
        <v>0.33333333333333331</v>
      </c>
      <c r="Q32" s="7">
        <v>1.0416666666666666E-2</v>
      </c>
      <c r="R32" s="24">
        <f t="shared" ref="R32:R33" si="59">IF(O32-P32-Q32&gt;0,(O32-P32-Q32),0)</f>
        <v>0</v>
      </c>
      <c r="S32" s="25"/>
    </row>
    <row r="33" spans="1:25" x14ac:dyDescent="0.2">
      <c r="A33" s="15" t="s">
        <v>0</v>
      </c>
      <c r="B33" s="16">
        <v>46203</v>
      </c>
      <c r="C33" s="17">
        <v>0.16666666666666666</v>
      </c>
      <c r="D33" s="17">
        <v>0.51041666666666663</v>
      </c>
      <c r="E33" s="18"/>
      <c r="F33" s="19"/>
      <c r="G33" s="20">
        <f t="shared" si="50"/>
        <v>0.16666666666666666</v>
      </c>
      <c r="H33" s="7">
        <f t="shared" si="51"/>
        <v>0</v>
      </c>
      <c r="I33" s="7">
        <f t="shared" si="52"/>
        <v>0.16666666666666666</v>
      </c>
      <c r="J33" s="21">
        <f t="shared" si="53"/>
        <v>0</v>
      </c>
      <c r="K33" s="7">
        <f t="shared" si="54"/>
        <v>0.51041666666666663</v>
      </c>
      <c r="L33" s="22">
        <f t="shared" si="55"/>
        <v>0.51041666666666663</v>
      </c>
      <c r="M33" s="23">
        <v>0.25</v>
      </c>
      <c r="N33" s="7">
        <f t="shared" si="58"/>
        <v>0.25</v>
      </c>
      <c r="O33" s="24">
        <f t="shared" si="56"/>
        <v>0</v>
      </c>
      <c r="P33" s="24">
        <v>0.33333333333333331</v>
      </c>
      <c r="Q33" s="7">
        <v>1.0416666666666666E-2</v>
      </c>
      <c r="R33" s="24">
        <f t="shared" si="59"/>
        <v>0</v>
      </c>
      <c r="S33" s="25"/>
    </row>
    <row r="34" spans="1:25" s="47" customFormat="1" ht="18" customHeight="1" x14ac:dyDescent="0.2">
      <c r="A34" s="37"/>
      <c r="B34" s="38"/>
      <c r="C34" s="39"/>
      <c r="D34" s="39"/>
      <c r="E34" s="40"/>
      <c r="F34" s="41"/>
      <c r="G34" s="42"/>
      <c r="H34" s="43"/>
      <c r="I34" s="43"/>
      <c r="J34" s="42"/>
      <c r="K34" s="43"/>
      <c r="L34" s="44"/>
      <c r="M34" s="43"/>
      <c r="N34" s="45">
        <f>SUM(N8:N31)</f>
        <v>3.9875000000000003</v>
      </c>
      <c r="O34" s="45"/>
      <c r="P34" s="46"/>
      <c r="Q34" s="43"/>
      <c r="R34" s="45">
        <f>SUM(R8:R31)</f>
        <v>0.42430555555555582</v>
      </c>
      <c r="S34" s="45">
        <f>SUM(S8:S31)</f>
        <v>0.41041666666666671</v>
      </c>
      <c r="Y34" s="46"/>
    </row>
    <row r="35" spans="1:25" ht="24.75" customHeight="1" thickBot="1" x14ac:dyDescent="0.25">
      <c r="P35" s="8"/>
    </row>
    <row r="36" spans="1:25" ht="51" x14ac:dyDescent="0.2">
      <c r="A36" s="48"/>
      <c r="G36" s="77" t="s">
        <v>23</v>
      </c>
      <c r="H36" s="77"/>
      <c r="I36" s="49" t="s">
        <v>24</v>
      </c>
      <c r="J36" s="49" t="s">
        <v>25</v>
      </c>
      <c r="K36" s="50" t="s">
        <v>26</v>
      </c>
      <c r="L36" s="49" t="s">
        <v>27</v>
      </c>
      <c r="M36" s="51" t="s">
        <v>28</v>
      </c>
      <c r="N36" s="52" t="s">
        <v>29</v>
      </c>
      <c r="O36" s="53" t="s">
        <v>30</v>
      </c>
      <c r="P36" s="54" t="s">
        <v>31</v>
      </c>
    </row>
    <row r="37" spans="1:25" x14ac:dyDescent="0.2">
      <c r="A37" s="55"/>
      <c r="G37" s="25" t="s">
        <v>32</v>
      </c>
      <c r="H37" s="25"/>
      <c r="I37" s="56">
        <v>42</v>
      </c>
      <c r="J37" s="56">
        <v>3</v>
      </c>
      <c r="K37" s="57">
        <v>2.0083000000000002</v>
      </c>
      <c r="L37" s="58">
        <v>0.25</v>
      </c>
      <c r="M37" s="59">
        <f>+K37*L37</f>
        <v>0.50207500000000005</v>
      </c>
      <c r="N37" s="60">
        <f>+I37*M37</f>
        <v>21.087150000000001</v>
      </c>
      <c r="O37" s="56">
        <f>(+M37/60)*J37</f>
        <v>2.5103750000000001E-2</v>
      </c>
      <c r="P37" s="61">
        <f t="shared" ref="P37:P39" si="60">+N37+O37</f>
        <v>21.112253750000001</v>
      </c>
    </row>
    <row r="38" spans="1:25" x14ac:dyDescent="0.2">
      <c r="A38" s="48"/>
      <c r="G38" s="25" t="s">
        <v>33</v>
      </c>
      <c r="H38" s="25"/>
      <c r="I38" s="56">
        <v>20</v>
      </c>
      <c r="J38" s="56">
        <v>37</v>
      </c>
      <c r="K38" s="57">
        <v>2.0083000000000002</v>
      </c>
      <c r="L38" s="58">
        <v>1.5</v>
      </c>
      <c r="M38" s="59">
        <f>+K38*L38</f>
        <v>3.0124500000000003</v>
      </c>
      <c r="N38" s="60">
        <f>+I38*M38</f>
        <v>60.249000000000009</v>
      </c>
      <c r="O38" s="56">
        <f>(+M38/60)*J38</f>
        <v>1.8576775000000001</v>
      </c>
      <c r="P38" s="61">
        <f t="shared" si="60"/>
        <v>62.106677500000011</v>
      </c>
    </row>
    <row r="39" spans="1:25" x14ac:dyDescent="0.2">
      <c r="G39" s="25" t="s">
        <v>34</v>
      </c>
      <c r="H39" s="25"/>
      <c r="I39" s="56">
        <v>73</v>
      </c>
      <c r="J39" s="56">
        <v>4</v>
      </c>
      <c r="K39" s="57">
        <v>2.0083000000000002</v>
      </c>
      <c r="L39" s="58">
        <v>2</v>
      </c>
      <c r="M39" s="59">
        <f>+K39*L39</f>
        <v>4.0166000000000004</v>
      </c>
      <c r="N39" s="60">
        <f>+I39*M39</f>
        <v>293.21180000000004</v>
      </c>
      <c r="O39" s="56">
        <f>(+M39/60)*J39</f>
        <v>0.26777333333333336</v>
      </c>
      <c r="P39" s="61">
        <f t="shared" si="60"/>
        <v>293.47957333333335</v>
      </c>
      <c r="R39" s="62"/>
      <c r="S39" s="62"/>
    </row>
    <row r="40" spans="1:25" ht="13.5" thickBot="1" x14ac:dyDescent="0.25">
      <c r="L40" s="25" t="s">
        <v>35</v>
      </c>
      <c r="M40" s="63"/>
      <c r="N40" s="64">
        <f>SUM(N37:N39)</f>
        <v>374.54795000000001</v>
      </c>
      <c r="O40" s="64">
        <f>SUM(O37:O39)</f>
        <v>2.1505545833333333</v>
      </c>
      <c r="P40" s="65">
        <f>SUM(P37:P39)</f>
        <v>376.69850458333337</v>
      </c>
      <c r="R40" s="78" t="s">
        <v>36</v>
      </c>
      <c r="S40" s="78"/>
    </row>
    <row r="41" spans="1:25" x14ac:dyDescent="0.2">
      <c r="L41" s="66"/>
      <c r="O41" s="79"/>
      <c r="P41" s="79"/>
    </row>
    <row r="46" spans="1:25" x14ac:dyDescent="0.2">
      <c r="E46" s="67"/>
    </row>
  </sheetData>
  <mergeCells count="12">
    <mergeCell ref="G36:H36"/>
    <mergeCell ref="R40:S40"/>
    <mergeCell ref="O41:P41"/>
    <mergeCell ref="Q2:Q3"/>
    <mergeCell ref="A6:A7"/>
    <mergeCell ref="B6:B7"/>
    <mergeCell ref="C6:C7"/>
    <mergeCell ref="D6:D7"/>
    <mergeCell ref="E6:E7"/>
    <mergeCell ref="F6:F7"/>
    <mergeCell ref="G6:L6"/>
    <mergeCell ref="M6:S6"/>
  </mergeCells>
  <phoneticPr fontId="4" type="noConversion"/>
  <pageMargins left="0.70866141732283472" right="0" top="0.35433070866141736" bottom="0" header="0" footer="0"/>
  <pageSetup scale="49" orientation="landscape" horizontalDpi="4294967293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JUNIO</vt:lpstr>
      <vt:lpstr>CALCULO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 CASERO</cp:lastModifiedBy>
  <cp:lastPrinted>2026-06-01T15:19:24Z</cp:lastPrinted>
  <dcterms:created xsi:type="dcterms:W3CDTF">2014-07-31T16:03:43Z</dcterms:created>
  <dcterms:modified xsi:type="dcterms:W3CDTF">2026-06-12T16:59:22Z</dcterms:modified>
</cp:coreProperties>
</file>