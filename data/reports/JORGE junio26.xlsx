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1" autoFilterDateGrouping="1"/>
  </bookViews>
  <sheets>
    <sheet name="junio" sheetId="1" state="visible" r:id="rId1"/>
    <sheet name="CALCULO " sheetId="2" state="visible" r:id="rId2"/>
    <sheet name="Hoj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.00_-;\-* #,##0.00_-;_-* &quot;-&quot;??_-;_-@_-"/>
    <numFmt numFmtId="165" formatCode="_-* #,##0.0000_-;\-* #,##0.0000_-;_-* &quot;-&quot;??_-;_-@_-"/>
    <numFmt numFmtId="166" formatCode="dd/mm/yyyy"/>
    <numFmt numFmtId="167" formatCode="hh:mm:ss"/>
    <numFmt numFmtId="168" formatCode="yyyy-mm-dd h:mm:ss"/>
  </numFmts>
  <fonts count="1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6"/>
    </font>
    <font>
      <name val="Arial"/>
      <family val="2"/>
      <b val="1"/>
      <sz val="8"/>
    </font>
    <font>
      <name val="Arial"/>
      <family val="2"/>
      <sz val="8"/>
    </font>
    <font>
      <name val="Tahoma"/>
      <family val="2"/>
      <sz val="8"/>
    </font>
    <font>
      <name val="Malgun Gothic"/>
      <family val="2"/>
      <sz val="9"/>
    </font>
    <font>
      <name val="Malgun Gothic"/>
      <family val="2"/>
      <sz val="9"/>
      <u val="single"/>
    </font>
    <font>
      <name val="Malgun Gothic"/>
      <family val="2"/>
      <sz val="10"/>
    </font>
    <font>
      <name val="Tahoma"/>
      <charset val="1"/>
      <sz val="8"/>
    </font>
  </fonts>
  <fills count="5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1" fillId="0" borderId="0"/>
  </cellStyleXfs>
  <cellXfs count="10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2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/>
    </xf>
    <xf numFmtId="0" fontId="7" fillId="3" borderId="0" pivotButton="0" quotePrefix="0" xfId="0"/>
    <xf numFmtId="0" fontId="7" fillId="0" borderId="0" applyAlignment="1" pivotButton="0" quotePrefix="0" xfId="0">
      <alignment vertical="center"/>
    </xf>
    <xf numFmtId="49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20" fontId="7" fillId="0" borderId="0" pivotButton="0" quotePrefix="0" xfId="0"/>
    <xf numFmtId="0" fontId="7" fillId="0" borderId="3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0" borderId="4" pivotButton="0" quotePrefix="0" xfId="0"/>
    <xf numFmtId="0" fontId="7" fillId="0" borderId="5" pivotButton="0" quotePrefix="0" xfId="0"/>
    <xf numFmtId="0" fontId="7" fillId="0" borderId="6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left"/>
    </xf>
    <xf numFmtId="0" fontId="7" fillId="3" borderId="2" applyAlignment="1" pivotButton="0" quotePrefix="0" xfId="0">
      <alignment horizontal="center" wrapText="1"/>
    </xf>
    <xf numFmtId="0" fontId="7" fillId="3" borderId="2" pivotButton="0" quotePrefix="0" xfId="0"/>
    <xf numFmtId="0" fontId="9" fillId="0" borderId="2" pivotButton="0" quotePrefix="0" xfId="0"/>
    <xf numFmtId="14" fontId="9" fillId="3" borderId="2" applyAlignment="1" pivotButton="0" quotePrefix="0" xfId="1">
      <alignment horizontal="left"/>
    </xf>
    <xf numFmtId="21" fontId="9" fillId="0" borderId="2" applyAlignment="1" pivotButton="0" quotePrefix="0" xfId="0">
      <alignment horizontal="left"/>
    </xf>
    <xf numFmtId="20" fontId="9" fillId="0" borderId="2" applyAlignment="1" pivotButton="0" quotePrefix="0" xfId="0">
      <alignment horizontal="center"/>
    </xf>
    <xf numFmtId="21" fontId="9" fillId="0" borderId="2" applyAlignment="1" pivotButton="0" quotePrefix="0" xfId="0">
      <alignment horizontal="right"/>
    </xf>
    <xf numFmtId="20" fontId="9" fillId="0" borderId="2" applyAlignment="1" pivotButton="0" quotePrefix="0" xfId="0">
      <alignment horizontal="right"/>
    </xf>
    <xf numFmtId="21" fontId="9" fillId="0" borderId="2" applyAlignment="1" pivotButton="0" quotePrefix="0" xfId="0">
      <alignment horizontal="center"/>
    </xf>
    <xf numFmtId="21" fontId="9" fillId="0" borderId="2" pivotButton="0" quotePrefix="0" xfId="0"/>
    <xf numFmtId="21" fontId="9" fillId="3" borderId="2" pivotButton="0" quotePrefix="0" xfId="0"/>
    <xf numFmtId="0" fontId="9" fillId="2" borderId="2" pivotButton="0" quotePrefix="0" xfId="0"/>
    <xf numFmtId="14" fontId="9" fillId="2" borderId="2" applyAlignment="1" pivotButton="0" quotePrefix="0" xfId="1">
      <alignment horizontal="left"/>
    </xf>
    <xf numFmtId="21" fontId="9" fillId="2" borderId="2" applyAlignment="1" pivotButton="0" quotePrefix="0" xfId="0">
      <alignment horizontal="left"/>
    </xf>
    <xf numFmtId="20" fontId="9" fillId="2" borderId="2" applyAlignment="1" pivotButton="0" quotePrefix="0" xfId="0">
      <alignment horizontal="center"/>
    </xf>
    <xf numFmtId="21" fontId="9" fillId="2" borderId="2" applyAlignment="1" pivotButton="0" quotePrefix="0" xfId="0">
      <alignment horizontal="right"/>
    </xf>
    <xf numFmtId="20" fontId="9" fillId="2" borderId="2" applyAlignment="1" pivotButton="0" quotePrefix="0" xfId="0">
      <alignment horizontal="right"/>
    </xf>
    <xf numFmtId="21" fontId="9" fillId="2" borderId="2" applyAlignment="1" pivotButton="0" quotePrefix="0" xfId="0">
      <alignment horizontal="center"/>
    </xf>
    <xf numFmtId="21" fontId="9" fillId="2" borderId="2" pivotButton="0" quotePrefix="0" xfId="0"/>
    <xf numFmtId="0" fontId="9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center"/>
    </xf>
    <xf numFmtId="46" fontId="9" fillId="0" borderId="2" pivotButton="0" quotePrefix="0" xfId="0"/>
    <xf numFmtId="0" fontId="9" fillId="0" borderId="0" pivotButton="0" quotePrefix="0" xfId="0"/>
    <xf numFmtId="14" fontId="9" fillId="0" borderId="0" applyAlignment="1" pivotButton="0" quotePrefix="0" xfId="1">
      <alignment horizontal="left"/>
    </xf>
    <xf numFmtId="21" fontId="9" fillId="0" borderId="0" applyAlignment="1" pivotButton="0" quotePrefix="0" xfId="0">
      <alignment horizontal="left"/>
    </xf>
    <xf numFmtId="20" fontId="9" fillId="0" borderId="0" applyAlignment="1" pivotButton="0" quotePrefix="0" xfId="0">
      <alignment horizontal="center" vertical="top"/>
    </xf>
    <xf numFmtId="20" fontId="9" fillId="0" borderId="0" applyAlignment="1" pivotButton="0" quotePrefix="0" xfId="0">
      <alignment horizontal="center"/>
    </xf>
    <xf numFmtId="21" fontId="9" fillId="0" borderId="17" applyAlignment="1" pivotButton="0" quotePrefix="0" xfId="0">
      <alignment horizontal="right"/>
    </xf>
    <xf numFmtId="21" fontId="9" fillId="0" borderId="3" applyAlignment="1" pivotButton="0" quotePrefix="0" xfId="0">
      <alignment horizontal="right"/>
    </xf>
    <xf numFmtId="20" fontId="9" fillId="0" borderId="18" applyAlignment="1" pivotButton="0" quotePrefix="0" xfId="0">
      <alignment horizontal="right"/>
    </xf>
    <xf numFmtId="21" fontId="9" fillId="0" borderId="14" applyAlignment="1" pivotButton="0" quotePrefix="0" xfId="0">
      <alignment horizontal="center"/>
    </xf>
    <xf numFmtId="21" fontId="9" fillId="0" borderId="17" pivotButton="0" quotePrefix="0" xfId="0"/>
    <xf numFmtId="21" fontId="9" fillId="0" borderId="3" pivotButton="0" quotePrefix="0" xfId="0"/>
    <xf numFmtId="21" fontId="9" fillId="0" borderId="18" pivotButton="0" quotePrefix="0" xfId="0"/>
    <xf numFmtId="21" fontId="9" fillId="0" borderId="0" pivotButton="0" quotePrefix="0" xfId="0"/>
    <xf numFmtId="49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3" borderId="12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49" fontId="9" fillId="0" borderId="0" applyAlignment="1" pivotButton="0" quotePrefix="0" xfId="0">
      <alignment horizontal="left"/>
    </xf>
    <xf numFmtId="2" fontId="9" fillId="0" borderId="2" pivotButton="0" quotePrefix="0" xfId="0"/>
    <xf numFmtId="164" fontId="9" fillId="0" borderId="2" pivotButton="0" quotePrefix="0" xfId="2"/>
    <xf numFmtId="164" fontId="9" fillId="0" borderId="7" pivotButton="0" quotePrefix="0" xfId="0"/>
    <xf numFmtId="2" fontId="9" fillId="0" borderId="8" pivotButton="0" quotePrefix="0" xfId="2"/>
    <xf numFmtId="2" fontId="9" fillId="3" borderId="2" pivotButton="0" quotePrefix="0" xfId="0"/>
    <xf numFmtId="2" fontId="9" fillId="0" borderId="9" pivotButton="0" quotePrefix="0" xfId="0"/>
    <xf numFmtId="0" fontId="9" fillId="0" borderId="14" pivotButton="0" quotePrefix="0" xfId="0"/>
    <xf numFmtId="0" fontId="9" fillId="0" borderId="7" pivotButton="0" quotePrefix="0" xfId="0"/>
    <xf numFmtId="2" fontId="9" fillId="0" borderId="10" pivotButton="0" quotePrefix="0" xfId="0"/>
    <xf numFmtId="2" fontId="9" fillId="3" borderId="10" pivotButton="0" quotePrefix="0" xfId="0"/>
    <xf numFmtId="2" fontId="9" fillId="0" borderId="15" pivotButton="0" quotePrefix="0" xfId="0"/>
    <xf numFmtId="20" fontId="7" fillId="0" borderId="0" applyAlignment="1" pivotButton="0" quotePrefix="0" xfId="0">
      <alignment horizontal="center"/>
    </xf>
    <xf numFmtId="165" fontId="9" fillId="0" borderId="2" pivotButton="0" quotePrefix="0" xfId="2"/>
    <xf numFmtId="0" fontId="7" fillId="3" borderId="2" applyAlignment="1" pivotButton="0" quotePrefix="0" xfId="0">
      <alignment horizontal="center" vertical="center" wrapText="1"/>
    </xf>
    <xf numFmtId="49" fontId="6" fillId="4" borderId="0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49" fontId="10" fillId="4" borderId="19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" pivotButton="0" quotePrefix="0" xfId="0"/>
    <xf numFmtId="166" fontId="9" fillId="3" borderId="2" applyAlignment="1" pivotButton="0" quotePrefix="0" xfId="1">
      <alignment horizontal="left"/>
    </xf>
    <xf numFmtId="167" fontId="9" fillId="0" borderId="2" applyAlignment="1" pivotButton="0" quotePrefix="0" xfId="0">
      <alignment horizontal="center"/>
    </xf>
    <xf numFmtId="166" fontId="9" fillId="2" borderId="2" applyAlignment="1" pivotButton="0" quotePrefix="0" xfId="1">
      <alignment horizontal="left"/>
    </xf>
    <xf numFmtId="167" fontId="9" fillId="2" borderId="2" applyAlignment="1" pivotButton="0" quotePrefix="0" xfId="0">
      <alignment horizontal="center"/>
    </xf>
    <xf numFmtId="166" fontId="9" fillId="0" borderId="2" applyAlignment="1" pivotButton="0" quotePrefix="0" xfId="0">
      <alignment horizontal="left"/>
    </xf>
    <xf numFmtId="167" fontId="9" fillId="0" borderId="2" applyAlignment="1" pivotButton="0" quotePrefix="0" xfId="0">
      <alignment horizontal="center" vertical="top"/>
    </xf>
    <xf numFmtId="165" fontId="9" fillId="0" borderId="2" pivotButton="0" quotePrefix="0" xfId="2"/>
    <xf numFmtId="164" fontId="9" fillId="0" borderId="2" pivotButton="0" quotePrefix="0" xfId="2"/>
    <xf numFmtId="164" fontId="9" fillId="0" borderId="7" pivotButton="0" quotePrefix="0" xfId="0"/>
    <xf numFmtId="0" fontId="0" fillId="0" borderId="16" pivotButton="0" quotePrefix="0" xfId="0"/>
  </cellXfs>
  <cellStyles count="3">
    <cellStyle name="Normal" xfId="0" builtinId="0"/>
    <cellStyle name="Normal 2" xfId="1"/>
    <cellStyle name="Millares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topLeftCell="A8" workbookViewId="0">
      <selection activeCell="C27" sqref="C27"/>
    </sheetView>
  </sheetViews>
  <sheetFormatPr baseColWidth="10" defaultColWidth="17.85546875" defaultRowHeight="11.25"/>
  <cols>
    <col width="8.5703125" customWidth="1" style="3" min="1" max="1"/>
    <col width="17.85546875" customWidth="1" style="3" min="2" max="2"/>
    <col width="18.5703125" customWidth="1" style="3" min="3" max="3"/>
    <col width="17.85546875" customWidth="1" style="5" min="4" max="4"/>
    <col width="17.85546875" customWidth="1" style="3" min="5" max="16384"/>
  </cols>
  <sheetData>
    <row r="1">
      <c r="A1" s="2" t="inlineStr">
        <is>
          <t>AC-No.</t>
        </is>
      </c>
      <c r="B1" s="2" t="inlineStr">
        <is>
          <t>IMSS/CURP</t>
        </is>
      </c>
      <c r="C1" s="2" t="inlineStr">
        <is>
          <t>Nombre</t>
        </is>
      </c>
      <c r="D1" s="2" t="inlineStr">
        <is>
          <t>Fecha y hora</t>
        </is>
      </c>
    </row>
    <row r="2" ht="18.75" customHeight="1">
      <c r="A2" s="85" t="inlineStr">
        <is>
          <t>2</t>
        </is>
      </c>
      <c r="B2" s="85" t="inlineStr">
        <is>
          <t>JORGE CH</t>
        </is>
      </c>
      <c r="C2" s="85" t="inlineStr">
        <is>
          <t>01/06/2026 06:56:22</t>
        </is>
      </c>
      <c r="D2" s="3" t="n"/>
    </row>
    <row r="3" ht="18.75" customHeight="1">
      <c r="A3" s="85" t="inlineStr">
        <is>
          <t>2</t>
        </is>
      </c>
      <c r="B3" s="85" t="inlineStr">
        <is>
          <t>JORGE CH</t>
        </is>
      </c>
      <c r="C3" s="85" t="inlineStr">
        <is>
          <t>01/06/2026 15:04:57</t>
        </is>
      </c>
      <c r="D3" s="3" t="n"/>
    </row>
    <row r="4" ht="18.75" customHeight="1">
      <c r="A4" s="85" t="inlineStr">
        <is>
          <t>2</t>
        </is>
      </c>
      <c r="B4" s="85" t="inlineStr">
        <is>
          <t>JORGE CH</t>
        </is>
      </c>
      <c r="C4" s="85" t="inlineStr">
        <is>
          <t>01/06/2026 15:04:59</t>
        </is>
      </c>
      <c r="D4" s="3" t="n"/>
    </row>
    <row r="5" ht="18.75" customHeight="1">
      <c r="A5" s="85" t="inlineStr">
        <is>
          <t>2</t>
        </is>
      </c>
      <c r="B5" s="85" t="inlineStr">
        <is>
          <t>JORGE CH</t>
        </is>
      </c>
      <c r="C5" s="85" t="inlineStr">
        <is>
          <t>02/06/2026 06:57:49</t>
        </is>
      </c>
      <c r="D5" s="3" t="n"/>
    </row>
    <row r="6" ht="18.75" customHeight="1">
      <c r="A6" s="85" t="inlineStr">
        <is>
          <t>2</t>
        </is>
      </c>
      <c r="B6" s="85" t="inlineStr">
        <is>
          <t>JORGE CH</t>
        </is>
      </c>
      <c r="C6" s="85" t="inlineStr">
        <is>
          <t>02/06/2026 20:35:36</t>
        </is>
      </c>
      <c r="D6" s="3" t="n"/>
    </row>
    <row r="7" ht="18.75" customHeight="1">
      <c r="A7" s="85" t="inlineStr">
        <is>
          <t>2</t>
        </is>
      </c>
      <c r="B7" s="85" t="inlineStr">
        <is>
          <t>JORGE CH</t>
        </is>
      </c>
      <c r="C7" s="85" t="inlineStr">
        <is>
          <t>03/06/2026 06:57:08</t>
        </is>
      </c>
      <c r="D7" s="3" t="n"/>
    </row>
    <row r="8" ht="18.75" customHeight="1">
      <c r="A8" s="85" t="inlineStr">
        <is>
          <t>2</t>
        </is>
      </c>
      <c r="B8" s="85" t="inlineStr">
        <is>
          <t>JORGE CH</t>
        </is>
      </c>
      <c r="C8" s="85" t="inlineStr">
        <is>
          <t>03/06/2026 15:08:22</t>
        </is>
      </c>
      <c r="D8" s="3" t="n"/>
    </row>
    <row r="9" ht="18.75" customHeight="1">
      <c r="A9" s="85" t="inlineStr">
        <is>
          <t>2</t>
        </is>
      </c>
      <c r="B9" s="85" t="inlineStr">
        <is>
          <t>JORGE CH</t>
        </is>
      </c>
      <c r="C9" s="85" t="inlineStr">
        <is>
          <t>04/06/2026 06:58:22</t>
        </is>
      </c>
      <c r="D9" s="3" t="n"/>
    </row>
    <row r="10" ht="18.75" customHeight="1">
      <c r="A10" s="85" t="inlineStr">
        <is>
          <t>2</t>
        </is>
      </c>
      <c r="B10" s="85" t="inlineStr">
        <is>
          <t>JORGE CH</t>
        </is>
      </c>
      <c r="C10" s="85" t="inlineStr">
        <is>
          <t>04/06/2026 20:36:34</t>
        </is>
      </c>
      <c r="D10" s="3" t="n"/>
    </row>
    <row r="11" ht="18.75" customHeight="1">
      <c r="A11" s="85" t="inlineStr">
        <is>
          <t>2</t>
        </is>
      </c>
      <c r="B11" s="85" t="inlineStr">
        <is>
          <t>JORGE CH</t>
        </is>
      </c>
      <c r="C11" s="85" t="inlineStr">
        <is>
          <t>05/06/2026 06:58:20</t>
        </is>
      </c>
      <c r="D11" s="3" t="n"/>
    </row>
    <row r="12" ht="18.75" customHeight="1">
      <c r="A12" s="85" t="inlineStr">
        <is>
          <t>2</t>
        </is>
      </c>
      <c r="B12" s="85" t="inlineStr">
        <is>
          <t>JORGE CH</t>
        </is>
      </c>
      <c r="C12" s="85" t="inlineStr">
        <is>
          <t>05/06/2026 15:09:25</t>
        </is>
      </c>
      <c r="D12" s="3" t="n"/>
    </row>
    <row r="13" ht="18.75" customHeight="1">
      <c r="A13" s="85" t="inlineStr">
        <is>
          <t>2</t>
        </is>
      </c>
      <c r="B13" s="85" t="inlineStr">
        <is>
          <t>JORGE CH</t>
        </is>
      </c>
      <c r="C13" s="85" t="inlineStr">
        <is>
          <t>06/06/2026 06:56:42</t>
        </is>
      </c>
      <c r="D13" s="3" t="n"/>
    </row>
    <row r="14" ht="18.75" customHeight="1">
      <c r="A14" s="85" t="inlineStr">
        <is>
          <t>2</t>
        </is>
      </c>
      <c r="B14" s="85" t="inlineStr">
        <is>
          <t>JORGE CH</t>
        </is>
      </c>
      <c r="C14" s="85" t="inlineStr">
        <is>
          <t>06/06/2026 20:09:46</t>
        </is>
      </c>
      <c r="D14" s="3" t="n"/>
    </row>
    <row r="15" ht="18.75" customHeight="1">
      <c r="A15" s="85" t="inlineStr">
        <is>
          <t>2</t>
        </is>
      </c>
      <c r="B15" s="85" t="inlineStr">
        <is>
          <t>JORGE CH</t>
        </is>
      </c>
      <c r="C15" s="85" t="inlineStr">
        <is>
          <t>08/06/2026 06:58:41</t>
        </is>
      </c>
      <c r="D15" s="3" t="n"/>
    </row>
    <row r="16" ht="18.75" customHeight="1">
      <c r="A16" s="85" t="inlineStr">
        <is>
          <t>2</t>
        </is>
      </c>
      <c r="B16" s="85" t="inlineStr">
        <is>
          <t>JORGE CH</t>
        </is>
      </c>
      <c r="C16" s="85" t="inlineStr">
        <is>
          <t>08/06/2026 20:35:46</t>
        </is>
      </c>
      <c r="D16" s="3" t="n"/>
    </row>
    <row r="17" ht="18.75" customFormat="1" customHeight="1" s="3">
      <c r="A17" s="85" t="inlineStr">
        <is>
          <t>2</t>
        </is>
      </c>
      <c r="B17" s="85" t="inlineStr">
        <is>
          <t>JORGE CH</t>
        </is>
      </c>
      <c r="C17" s="85" t="inlineStr">
        <is>
          <t>09/06/2026 06:57:52</t>
        </is>
      </c>
    </row>
    <row r="18" ht="18.75" customFormat="1" customHeight="1" s="3">
      <c r="A18" s="85" t="inlineStr">
        <is>
          <t>2</t>
        </is>
      </c>
      <c r="B18" s="85" t="inlineStr">
        <is>
          <t>JORGE CH</t>
        </is>
      </c>
      <c r="C18" s="85" t="inlineStr">
        <is>
          <t>09/06/2026 15:06:56</t>
        </is>
      </c>
    </row>
    <row r="19" ht="18.75" customFormat="1" customHeight="1" s="3">
      <c r="A19" s="85" t="inlineStr">
        <is>
          <t>2</t>
        </is>
      </c>
      <c r="B19" s="85" t="inlineStr">
        <is>
          <t>JORGE CH</t>
        </is>
      </c>
      <c r="C19" s="85" t="inlineStr">
        <is>
          <t>10/06/2026 06:58:25</t>
        </is>
      </c>
    </row>
    <row r="20" ht="18.75" customFormat="1" customHeight="1" s="3">
      <c r="A20" s="85" t="inlineStr">
        <is>
          <t>2</t>
        </is>
      </c>
      <c r="B20" s="85" t="inlineStr">
        <is>
          <t>JORGE CH</t>
        </is>
      </c>
      <c r="C20" s="85" t="inlineStr">
        <is>
          <t>10/06/2026 20:37:30</t>
        </is>
      </c>
    </row>
    <row r="21" ht="18.75" customFormat="1" customHeight="1" s="3">
      <c r="A21" s="85" t="inlineStr">
        <is>
          <t>2</t>
        </is>
      </c>
      <c r="B21" s="85" t="inlineStr">
        <is>
          <t>JORGE CH</t>
        </is>
      </c>
      <c r="C21" s="85" t="inlineStr">
        <is>
          <t>11/06/2026 06:58:48</t>
        </is>
      </c>
    </row>
    <row r="22" ht="18.75" customFormat="1" customHeight="1" s="3">
      <c r="A22" s="85" t="inlineStr">
        <is>
          <t>2</t>
        </is>
      </c>
      <c r="B22" s="85" t="inlineStr">
        <is>
          <t>JORGE CH</t>
        </is>
      </c>
      <c r="C22" s="85" t="inlineStr">
        <is>
          <t>11/06/2026 15:13:56</t>
        </is>
      </c>
    </row>
    <row r="23" ht="18.75" customFormat="1" customHeight="1" s="3">
      <c r="A23" s="85" t="inlineStr">
        <is>
          <t>2</t>
        </is>
      </c>
      <c r="B23" s="85" t="inlineStr">
        <is>
          <t>JORGE CH</t>
        </is>
      </c>
      <c r="C23" s="85" t="inlineStr">
        <is>
          <t>12/06/2026 06:58:40</t>
        </is>
      </c>
    </row>
    <row r="24" ht="18.75" customFormat="1" customHeight="1" s="3">
      <c r="A24" s="85" t="inlineStr">
        <is>
          <t>2</t>
        </is>
      </c>
      <c r="B24" s="85" t="inlineStr">
        <is>
          <t>JORGE CH</t>
        </is>
      </c>
      <c r="C24" s="85" t="inlineStr">
        <is>
          <t>12/06/2026 20:35:07</t>
        </is>
      </c>
    </row>
    <row r="25" ht="18.75" customFormat="1" customHeight="1" s="3">
      <c r="A25" s="85" t="inlineStr">
        <is>
          <t>2</t>
        </is>
      </c>
      <c r="B25" s="85" t="inlineStr">
        <is>
          <t>JORGE CH</t>
        </is>
      </c>
      <c r="C25" s="85" t="inlineStr">
        <is>
          <t>13/06/2026 06:55:08</t>
        </is>
      </c>
    </row>
    <row r="26" ht="18.75" customFormat="1" customHeight="1" s="3">
      <c r="A26" s="85" t="inlineStr">
        <is>
          <t>2</t>
        </is>
      </c>
      <c r="B26" s="85" t="inlineStr">
        <is>
          <t>JORGE CH</t>
        </is>
      </c>
      <c r="C26" s="85" t="inlineStr">
        <is>
          <t>13/06/2026 20:13:03</t>
        </is>
      </c>
    </row>
    <row r="27" ht="18.75" customFormat="1" customHeight="1" s="3">
      <c r="A27" s="85" t="inlineStr">
        <is>
          <t>2</t>
        </is>
      </c>
      <c r="B27" s="85" t="inlineStr">
        <is>
          <t>JORGE CH</t>
        </is>
      </c>
      <c r="C27" s="85" t="inlineStr">
        <is>
          <t>15/06/2026 06:58:25</t>
        </is>
      </c>
    </row>
    <row r="28" ht="18.75" customFormat="1" customHeight="1" s="3">
      <c r="A28" s="85" t="inlineStr">
        <is>
          <t>2</t>
        </is>
      </c>
      <c r="B28" s="85" t="inlineStr">
        <is>
          <t>JORGE CH</t>
        </is>
      </c>
      <c r="C28" s="85" t="inlineStr">
        <is>
          <t>15/06/2026 15:02:07</t>
        </is>
      </c>
    </row>
    <row r="29" ht="18.75" customFormat="1" customHeight="1" s="3">
      <c r="A29" s="85" t="inlineStr">
        <is>
          <t>2</t>
        </is>
      </c>
      <c r="B29" s="85" t="inlineStr">
        <is>
          <t>JORGE CH</t>
        </is>
      </c>
      <c r="C29" s="85" t="inlineStr">
        <is>
          <t>16/06/2026 06:56:55</t>
        </is>
      </c>
    </row>
    <row r="30" ht="18.75" customFormat="1" customHeight="1" s="3">
      <c r="A30" s="85" t="inlineStr">
        <is>
          <t>2</t>
        </is>
      </c>
      <c r="B30" s="85" t="inlineStr">
        <is>
          <t>JORGE CH</t>
        </is>
      </c>
      <c r="C30" s="85" t="inlineStr">
        <is>
          <t>16/06/2026 20:40:09</t>
        </is>
      </c>
    </row>
    <row r="31" ht="18.75" customFormat="1" customHeight="1" s="3">
      <c r="A31" s="85" t="inlineStr">
        <is>
          <t>2</t>
        </is>
      </c>
      <c r="B31" s="85" t="inlineStr">
        <is>
          <t>JORGE CH</t>
        </is>
      </c>
      <c r="C31" s="85" t="inlineStr">
        <is>
          <t>17/06/2026 06:57:41</t>
        </is>
      </c>
    </row>
    <row r="32" ht="18.75" customFormat="1" customHeight="1" s="3">
      <c r="A32" s="85" t="inlineStr">
        <is>
          <t>2</t>
        </is>
      </c>
      <c r="B32" s="85" t="inlineStr">
        <is>
          <t>JORGE CH</t>
        </is>
      </c>
      <c r="C32" s="85" t="inlineStr">
        <is>
          <t>17/06/2026 15:33:37</t>
        </is>
      </c>
    </row>
    <row r="33" ht="18.75" customFormat="1" customHeight="1" s="3">
      <c r="A33" s="85" t="inlineStr">
        <is>
          <t>2</t>
        </is>
      </c>
      <c r="B33" s="85" t="inlineStr">
        <is>
          <t>JORGE CH</t>
        </is>
      </c>
      <c r="C33" s="85" t="inlineStr">
        <is>
          <t>18/06/2026 06:57:35</t>
        </is>
      </c>
    </row>
    <row r="34" ht="18.75" customFormat="1" customHeight="1" s="3">
      <c r="A34" s="85" t="n"/>
      <c r="B34" s="85" t="n"/>
      <c r="C34" s="85" t="n"/>
    </row>
    <row r="35" ht="18.75" customFormat="1" customHeight="1" s="3">
      <c r="A35" s="85" t="n"/>
      <c r="B35" s="85" t="n"/>
      <c r="C35" s="85" t="n"/>
    </row>
    <row r="36" ht="18.75" customFormat="1" customHeight="1" s="3">
      <c r="A36" s="85" t="n"/>
      <c r="B36" s="85" t="n"/>
      <c r="C36" s="85" t="n"/>
    </row>
    <row r="37" ht="18.75" customFormat="1" customHeight="1" s="3">
      <c r="A37" s="85" t="n"/>
      <c r="B37" s="85" t="n"/>
      <c r="C37" s="85" t="n"/>
    </row>
    <row r="38" ht="18.75" customFormat="1" customHeight="1" s="3">
      <c r="A38" s="85" t="n"/>
      <c r="B38" s="85" t="n"/>
      <c r="C38" s="85" t="n"/>
    </row>
    <row r="39" ht="18.75" customFormat="1" customHeight="1" s="3">
      <c r="A39" s="85" t="n"/>
      <c r="B39" s="85" t="n"/>
      <c r="C39" s="85" t="n"/>
    </row>
    <row r="40" ht="18.75" customFormat="1" customHeight="1" s="3">
      <c r="A40" s="85" t="n"/>
      <c r="B40" s="85" t="n"/>
      <c r="C40" s="85" t="n"/>
    </row>
    <row r="41" ht="18.75" customFormat="1" customHeight="1" s="3">
      <c r="A41" s="85" t="n"/>
      <c r="B41" s="85" t="n"/>
      <c r="C41" s="85" t="n"/>
    </row>
    <row r="42" ht="18.75" customFormat="1" customHeight="1" s="3">
      <c r="A42" s="85" t="n"/>
      <c r="B42" s="85" t="n"/>
      <c r="C42" s="85" t="n"/>
    </row>
    <row r="43" ht="18.75" customFormat="1" customHeight="1" s="3">
      <c r="A43" s="85" t="n"/>
      <c r="B43" s="85" t="n"/>
      <c r="C43" s="85" t="n"/>
    </row>
    <row r="44" ht="18.75" customFormat="1" customHeight="1" s="3">
      <c r="A44" s="85" t="n"/>
      <c r="B44" s="85" t="n"/>
      <c r="C44" s="85" t="n"/>
    </row>
    <row r="45" ht="18.75" customFormat="1" customHeight="1" s="3">
      <c r="A45" s="85" t="n"/>
      <c r="B45" s="85" t="n"/>
      <c r="C45" s="85" t="n"/>
    </row>
    <row r="46" ht="18.75" customFormat="1" customHeight="1" s="3">
      <c r="A46" s="85" t="n"/>
      <c r="B46" s="85" t="n"/>
      <c r="C46" s="85" t="n"/>
    </row>
    <row r="47" ht="18.75" customFormat="1" customHeight="1" s="3">
      <c r="A47" s="85" t="n"/>
      <c r="B47" s="85" t="n"/>
      <c r="C47" s="85" t="n"/>
    </row>
    <row r="48" ht="18.75" customFormat="1" customHeight="1" s="3">
      <c r="A48" s="85" t="n"/>
      <c r="B48" s="85" t="n"/>
      <c r="C48" s="85" t="n"/>
    </row>
    <row r="49" ht="18.75" customHeight="1">
      <c r="A49" s="85" t="n"/>
      <c r="B49" s="85" t="n"/>
      <c r="C49" s="85" t="n"/>
      <c r="D49" s="3" t="n"/>
    </row>
    <row r="50" ht="18.75" customHeight="1">
      <c r="A50" s="85" t="n"/>
      <c r="B50" s="85" t="n"/>
      <c r="C50" s="85" t="n"/>
      <c r="D50" s="4" t="n"/>
    </row>
    <row r="51" ht="18.75" customHeight="1">
      <c r="A51" s="85" t="n"/>
      <c r="B51" s="85" t="n"/>
      <c r="C51" s="85" t="n"/>
      <c r="D51" s="4" t="n"/>
    </row>
    <row r="52" ht="18.75" customHeight="1">
      <c r="A52" s="85" t="n"/>
      <c r="B52" s="85" t="n"/>
      <c r="C52" s="85" t="n"/>
      <c r="D52" s="4" t="n"/>
    </row>
    <row r="53" ht="18.75" customHeight="1">
      <c r="A53" s="85" t="n"/>
      <c r="B53" s="85" t="n"/>
      <c r="C53" s="85" t="n"/>
      <c r="D53" s="3" t="n"/>
    </row>
    <row r="54" ht="18.75" customHeight="1">
      <c r="A54" s="85" t="n"/>
      <c r="B54" s="85" t="n"/>
      <c r="C54" s="85" t="n"/>
      <c r="D54" s="3" t="n"/>
    </row>
    <row r="55" ht="18.75" customHeight="1">
      <c r="A55" s="85" t="n"/>
      <c r="B55" s="85" t="n"/>
      <c r="C55" s="85" t="n"/>
      <c r="D55" s="3" t="n"/>
    </row>
    <row r="56" ht="18.75" customHeight="1">
      <c r="A56" s="85" t="n"/>
      <c r="B56" s="85" t="n"/>
      <c r="C56" s="85" t="n"/>
      <c r="D56" s="3" t="n"/>
    </row>
    <row r="57" ht="18.75" customHeight="1">
      <c r="A57" s="84" t="n"/>
      <c r="B57" s="84" t="n"/>
      <c r="C57" s="84" t="n"/>
      <c r="D57" s="3" t="n"/>
    </row>
    <row r="58" ht="18.75" customHeight="1">
      <c r="A58" s="83" t="n"/>
      <c r="B58" s="83" t="n"/>
      <c r="C58" s="83" t="n"/>
      <c r="D58" s="3" t="n"/>
    </row>
    <row r="59" ht="18.75" customHeight="1">
      <c r="A59" s="83" t="n"/>
      <c r="B59" s="83" t="n"/>
      <c r="C59" s="83" t="n"/>
      <c r="D59" s="3" t="n"/>
    </row>
    <row r="60" ht="18.75" customHeight="1">
      <c r="A60" s="83" t="n"/>
      <c r="B60" s="83" t="n"/>
      <c r="C60" s="83" t="n"/>
      <c r="D60" s="3" t="n"/>
    </row>
    <row r="61">
      <c r="A61" s="83" t="n"/>
      <c r="B61" s="83" t="n"/>
      <c r="C61" s="83" t="n"/>
      <c r="D61" s="3" t="n"/>
    </row>
    <row r="62">
      <c r="D62" s="3" t="n"/>
    </row>
    <row r="63">
      <c r="D63" s="3" t="n"/>
    </row>
    <row r="64">
      <c r="D64" s="3" t="n"/>
    </row>
    <row r="65" customFormat="1" s="3"/>
    <row r="66" customFormat="1" s="3"/>
    <row r="67" customFormat="1" s="3"/>
    <row r="68" customFormat="1" s="3"/>
    <row r="69" customFormat="1" s="3"/>
    <row r="70" customFormat="1" s="3"/>
    <row r="71" customFormat="1" s="3"/>
  </sheetData>
  <pageMargins left="0.7480314960629921" right="0.7480314960629921" top="0.984251968503937" bottom="0.984251968503937" header="0.5118110236220472" footer="0.5118110236220472"/>
  <pageSetup orientation="portrait" scale="56" horizontalDpi="4294967293" verticalDpi="7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65272"/>
  <sheetViews>
    <sheetView tabSelected="1" topLeftCell="A6" workbookViewId="0">
      <selection activeCell="L18" sqref="L18"/>
    </sheetView>
  </sheetViews>
  <sheetFormatPr baseColWidth="10" defaultRowHeight="12"/>
  <cols>
    <col width="3.42578125" customWidth="1" style="6" min="1" max="1"/>
    <col width="12.140625" customWidth="1" style="7" min="2" max="2"/>
    <col width="10.28515625" customWidth="1" style="7" min="3" max="3"/>
    <col width="10.5703125" customWidth="1" style="7" min="4" max="4"/>
    <col width="8.42578125" customWidth="1" style="8" min="5" max="5"/>
    <col width="9.5703125" customWidth="1" style="9" min="6" max="6"/>
    <col width="10" customWidth="1" style="6" min="7" max="7"/>
    <col width="11.7109375" customWidth="1" style="6" min="8" max="8"/>
    <col width="10.140625" bestFit="1" customWidth="1" style="6" min="9" max="9"/>
    <col width="9.85546875" customWidth="1" style="6" min="10" max="11"/>
    <col width="10" bestFit="1" customWidth="1" style="6" min="12" max="12"/>
    <col width="10" customWidth="1" style="6" min="13" max="13"/>
    <col width="10.5703125" customWidth="1" style="6" min="14" max="14"/>
    <col width="11.28515625" customWidth="1" style="10" min="15" max="15"/>
    <col width="10.7109375" customWidth="1" style="6" min="16" max="16"/>
    <col width="11.7109375" customWidth="1" style="6" min="17" max="17"/>
    <col width="12" customWidth="1" style="6" min="18" max="18"/>
    <col width="11.28515625" customWidth="1" style="6" min="19" max="19"/>
    <col width="8" customWidth="1" style="6" min="20" max="20"/>
    <col width="11.42578125" customWidth="1" style="6" min="21" max="16384"/>
  </cols>
  <sheetData>
    <row r="1">
      <c r="A1" s="6" t="inlineStr">
        <is>
          <t>ZAIDA DIDONATO</t>
        </is>
      </c>
    </row>
    <row r="2" ht="18.75" customHeight="1">
      <c r="A2" s="11" t="inlineStr">
        <is>
          <t>REPORTE HORAS RELOJ junio 2026</t>
        </is>
      </c>
      <c r="B2" s="12" t="n"/>
      <c r="C2" s="13" t="n"/>
      <c r="D2" s="13" t="n"/>
      <c r="J2" s="14" t="n"/>
      <c r="S2" s="15" t="n"/>
    </row>
    <row r="3">
      <c r="A3" s="6" t="inlineStr">
        <is>
          <t>JORGE CHAVEZ</t>
        </is>
      </c>
    </row>
    <row r="4" ht="12.75" customHeight="1" thickBot="1">
      <c r="A4" s="16" t="n"/>
    </row>
    <row r="5">
      <c r="A5" s="16" t="n"/>
      <c r="G5" s="17" t="n"/>
      <c r="H5" s="18" t="inlineStr">
        <is>
          <t xml:space="preserve">    CONTROL ASISTENCIA</t>
        </is>
      </c>
      <c r="I5" s="18" t="n"/>
      <c r="J5" s="18" t="n"/>
      <c r="K5" s="18" t="n"/>
      <c r="L5" s="19" t="n"/>
      <c r="M5" s="86" t="inlineStr">
        <is>
          <t>Horas nocturnas, suplementarias y extraordinarias</t>
        </is>
      </c>
      <c r="N5" s="90" t="n"/>
      <c r="O5" s="90" t="n"/>
      <c r="P5" s="90" t="n"/>
      <c r="Q5" s="90" t="n"/>
      <c r="R5" s="90" t="n"/>
      <c r="S5" s="91" t="n"/>
    </row>
    <row r="6" ht="45" customHeight="1">
      <c r="A6" s="20" t="inlineStr">
        <is>
          <t>Cod.</t>
        </is>
      </c>
      <c r="B6" s="21" t="inlineStr">
        <is>
          <t>Fecha</t>
        </is>
      </c>
      <c r="C6" s="21" t="inlineStr">
        <is>
          <t>Entrada</t>
        </is>
      </c>
      <c r="D6" s="21" t="inlineStr">
        <is>
          <t>Salida</t>
        </is>
      </c>
      <c r="E6" s="82" t="inlineStr">
        <is>
          <t>Marco Entrada</t>
        </is>
      </c>
      <c r="F6" s="82" t="inlineStr">
        <is>
          <t>Marco Salida</t>
        </is>
      </c>
      <c r="G6" s="23" t="inlineStr">
        <is>
          <t>Entrada</t>
        </is>
      </c>
      <c r="H6" s="23" t="inlineStr">
        <is>
          <t>Salida</t>
        </is>
      </c>
      <c r="I6" s="23" t="inlineStr">
        <is>
          <t>TOTAL</t>
        </is>
      </c>
      <c r="J6" s="23" t="inlineStr">
        <is>
          <t>Atraso</t>
        </is>
      </c>
      <c r="K6" s="22" t="inlineStr">
        <is>
          <t>Salida Temprano</t>
        </is>
      </c>
      <c r="L6" s="22" t="inlineStr">
        <is>
          <t>TOTAL</t>
        </is>
      </c>
      <c r="M6" s="22" t="inlineStr">
        <is>
          <t xml:space="preserve">Horas Nocturnas </t>
        </is>
      </c>
      <c r="N6" s="22" t="inlineStr">
        <is>
          <t xml:space="preserve">Horas Nocturnas </t>
        </is>
      </c>
      <c r="O6" s="22" t="inlineStr">
        <is>
          <t>Horas suplementarias base</t>
        </is>
      </c>
      <c r="P6" s="22" t="inlineStr">
        <is>
          <t>Horas normales</t>
        </is>
      </c>
      <c r="Q6" s="22" t="inlineStr">
        <is>
          <t>Comida</t>
        </is>
      </c>
      <c r="R6" s="22" t="inlineStr">
        <is>
          <t>Horas suplementarias</t>
        </is>
      </c>
      <c r="S6" s="22" t="inlineStr">
        <is>
          <t xml:space="preserve">Horas Extraordinarias </t>
        </is>
      </c>
    </row>
    <row r="7" ht="13.5" customHeight="1">
      <c r="A7" s="24" t="n">
        <v>2</v>
      </c>
      <c r="B7" s="25" t="n">
        <v>46174</v>
      </c>
      <c r="C7" s="26" t="n">
        <v>0.2916666666666667</v>
      </c>
      <c r="D7" s="26" t="n">
        <v>0.8541666666666666</v>
      </c>
      <c r="E7" s="27" t="n"/>
      <c r="F7" s="27" t="n"/>
      <c r="G7" s="28">
        <f>IF(C7-E7&gt;0,+C7-E7,0)</f>
        <v/>
      </c>
      <c r="H7" s="28">
        <f>IF(F7-D7&gt;0,+F7-D7,0)</f>
        <v/>
      </c>
      <c r="I7" s="28">
        <f>SUM(G7:H7)</f>
        <v/>
      </c>
      <c r="J7" s="28">
        <f>IF(C7-E7&lt;0,+(+C7-E7)*-1,0)</f>
        <v/>
      </c>
      <c r="K7" s="28">
        <f>IF(F7-D7&lt;0,+(+F7-D7)*-1,0)</f>
        <v/>
      </c>
      <c r="L7" s="29">
        <f>+J7+K7</f>
        <v/>
      </c>
      <c r="M7" s="30" t="n">
        <v>0.25</v>
      </c>
      <c r="N7" s="31">
        <f>IF((+M7-E7)&gt;0,(+M7-E7),0)</f>
        <v/>
      </c>
      <c r="O7" s="32">
        <f>+(+F7-E7)</f>
        <v/>
      </c>
      <c r="P7" s="31" t="n">
        <v>0.3333333333333333</v>
      </c>
      <c r="Q7" s="30" t="n"/>
      <c r="R7" s="31">
        <f>IF((+O7-P7-Q7)&gt;0,(O7-P7-Q7),0)</f>
        <v/>
      </c>
      <c r="S7" s="31" t="n"/>
    </row>
    <row r="8" ht="13.5" customHeight="1">
      <c r="A8" s="24" t="n">
        <v>2</v>
      </c>
      <c r="B8" s="92" t="n">
        <v>46143</v>
      </c>
      <c r="C8" s="26" t="n">
        <v>0.2916666666666667</v>
      </c>
      <c r="D8" s="26" t="n">
        <v>0.8541666666666666</v>
      </c>
      <c r="E8" s="93" t="n">
        <v>0.2904861111111111</v>
      </c>
      <c r="F8" s="93" t="n">
        <v>0.8378472222222222</v>
      </c>
      <c r="G8" s="28">
        <f>IF(C8-E8&gt;0,+C8-E8,0)</f>
        <v/>
      </c>
      <c r="H8" s="28">
        <f>IF(F8-D8&gt;0,+F8-D8,0)</f>
        <v/>
      </c>
      <c r="I8" s="28">
        <f>SUM(G8:H8)</f>
        <v/>
      </c>
      <c r="J8" s="28">
        <f>IF(C8-E8&lt;0,+(+C8-E8)*-1,0)</f>
        <v/>
      </c>
      <c r="K8" s="28">
        <f>IF(F8-D8&lt;0,+(+F8-D8)*-1,0)</f>
        <v/>
      </c>
      <c r="L8" s="29">
        <f>+J8+K8</f>
        <v/>
      </c>
      <c r="M8" s="30" t="n">
        <v>0.25</v>
      </c>
      <c r="N8" s="31">
        <f>IF((+M8-E8)&gt;0,(+M8-E8),0)</f>
        <v/>
      </c>
      <c r="O8" s="32">
        <f>+(+F8-E8)</f>
        <v/>
      </c>
      <c r="P8" s="31" t="n">
        <v>0.3333333333333333</v>
      </c>
      <c r="Q8" s="30" t="n">
        <v>0.01041666666666667</v>
      </c>
      <c r="R8" s="31">
        <f>IF((+O8-P8-Q8)&gt;0,(O8-P8-Q8),0)</f>
        <v/>
      </c>
      <c r="S8" s="31" t="n"/>
    </row>
    <row r="9" ht="13.5" customHeight="1">
      <c r="A9" s="24" t="n">
        <v>2</v>
      </c>
      <c r="B9" s="92" t="n">
        <v>46144</v>
      </c>
      <c r="C9" s="26" t="n">
        <v>0.2916666666666667</v>
      </c>
      <c r="D9" s="26" t="n">
        <v>0.8541666666666666</v>
      </c>
      <c r="E9" s="93" t="n">
        <v>0.291087962962963</v>
      </c>
      <c r="F9" s="93" t="n">
        <v>0.840949074074074</v>
      </c>
      <c r="G9" s="28">
        <f>IF(C9-E9&gt;0,+C9-E9,0)</f>
        <v/>
      </c>
      <c r="H9" s="28">
        <f>IF(F9-D9&gt;0,+F9-D9,0)</f>
        <v/>
      </c>
      <c r="I9" s="28">
        <f>SUM(G9:H9)</f>
        <v/>
      </c>
      <c r="J9" s="28">
        <f>IF(C9-E9&lt;0,+(+C9-E9)*-1,0)</f>
        <v/>
      </c>
      <c r="K9" s="28">
        <f>IF(F9-D9&lt;0,+(+F9-D9)*-1,0)</f>
        <v/>
      </c>
      <c r="L9" s="29">
        <f>+J9+K9</f>
        <v/>
      </c>
      <c r="M9" s="30" t="n">
        <v>0.25</v>
      </c>
      <c r="N9" s="31">
        <f>IF((+M9-E9)&gt;0,(+M9-E9),0)</f>
        <v/>
      </c>
      <c r="O9" s="32">
        <f>+(+F9-E9)</f>
        <v/>
      </c>
      <c r="P9" s="31" t="n">
        <v>0.3333333333333333</v>
      </c>
      <c r="Q9" s="30" t="n"/>
      <c r="R9" s="31">
        <f>IF((+O9-P9-Q9)&gt;0,(O9-P9-Q9),0)</f>
        <v/>
      </c>
      <c r="S9" s="31" t="n"/>
    </row>
    <row r="10" ht="13.5" customHeight="1">
      <c r="A10" s="24" t="n">
        <v>2</v>
      </c>
      <c r="B10" s="92" t="n">
        <v>46146</v>
      </c>
      <c r="C10" s="26" t="n">
        <v>0.2916666666666667</v>
      </c>
      <c r="D10" s="26" t="n">
        <v>0.8541666666666666</v>
      </c>
      <c r="E10" s="93" t="n">
        <v>0.2914236111111111</v>
      </c>
      <c r="F10" s="93" t="n">
        <v>0.6300810185185185</v>
      </c>
      <c r="G10" s="28">
        <f>IF(C10-E10&gt;0,+C10-E10,0)</f>
        <v/>
      </c>
      <c r="H10" s="28">
        <f>IF(F10-D10&gt;0,+F10-D10,0)</f>
        <v/>
      </c>
      <c r="I10" s="28">
        <f>SUM(G10:H10)</f>
        <v/>
      </c>
      <c r="J10" s="28">
        <f>IF(C10-E10&lt;0,+(+C10-E10)*-1,0)</f>
        <v/>
      </c>
      <c r="K10" s="28">
        <f>IF(F10-D10&lt;0,+(+F10-D10)*-1,0)</f>
        <v/>
      </c>
      <c r="L10" s="29">
        <f>+J10+K10</f>
        <v/>
      </c>
      <c r="M10" s="30" t="n">
        <v>0.25</v>
      </c>
      <c r="N10" s="31">
        <f>IF((+M10-E10)&gt;0,(+M10-E10),0)</f>
        <v/>
      </c>
      <c r="O10" s="32">
        <f>+(+F10-E10)</f>
        <v/>
      </c>
      <c r="P10" s="31" t="n">
        <v>0.3333333333333333</v>
      </c>
      <c r="Q10" s="30" t="n">
        <v>0.01041666666666667</v>
      </c>
      <c r="R10" s="31">
        <f>IF((+O10-P10-Q10)&gt;0,(O10-P10-Q10),0)</f>
        <v/>
      </c>
      <c r="S10" s="31" t="n"/>
    </row>
    <row r="11" ht="15" customHeight="1">
      <c r="A11" s="24" t="n">
        <v>2</v>
      </c>
      <c r="B11" s="92" t="n">
        <v>46147</v>
      </c>
      <c r="C11" s="26" t="n">
        <v>0.2916666666666667</v>
      </c>
      <c r="D11" s="26" t="n">
        <v>0.8541666666666666</v>
      </c>
      <c r="E11" s="93" t="n">
        <v>0.2908796296296297</v>
      </c>
      <c r="F11" s="93" t="n">
        <v>0.8633101851851852</v>
      </c>
      <c r="G11" s="28">
        <f>IF(C11-E11&gt;0,+C11-E11,0)</f>
        <v/>
      </c>
      <c r="H11" s="28">
        <f>IF(F11-D11&gt;0,+F11-D11,0)</f>
        <v/>
      </c>
      <c r="I11" s="28">
        <f>SUM(G11:H11)</f>
        <v/>
      </c>
      <c r="J11" s="28">
        <f>IF(C11-E11&lt;0,+(+C11-E11)*-1,0)</f>
        <v/>
      </c>
      <c r="K11" s="28">
        <f>IF(F11-D11&lt;0,+(+F11-D11)*-1,0)</f>
        <v/>
      </c>
      <c r="L11" s="29">
        <f>+J11+K11</f>
        <v/>
      </c>
      <c r="M11" s="30" t="n">
        <v>0.25</v>
      </c>
      <c r="N11" s="31">
        <f>IF((+M11-E11)&gt;0,(+M11-E11),0)</f>
        <v/>
      </c>
      <c r="O11" s="32">
        <f>+(+F11-E11)</f>
        <v/>
      </c>
      <c r="P11" s="31" t="n">
        <v>0.3333333333333333</v>
      </c>
      <c r="Q11" s="30" t="n"/>
      <c r="R11" s="31">
        <f>IF((+O11-P11-Q11)&gt;0,(O11-P11-Q11),0)</f>
        <v/>
      </c>
      <c r="S11" s="31" t="n"/>
    </row>
    <row r="12" ht="13.5" customHeight="1">
      <c r="A12" s="33" t="n">
        <v>2</v>
      </c>
      <c r="B12" s="94" t="n">
        <v>46148</v>
      </c>
      <c r="C12" s="35" t="n">
        <v>0.2916666666666667</v>
      </c>
      <c r="D12" s="35" t="n">
        <v>0.8541666666666666</v>
      </c>
      <c r="E12" s="95" t="n">
        <v>0.2897916666666667</v>
      </c>
      <c r="F12" s="95" t="n">
        <v>0.6318518518518519</v>
      </c>
      <c r="G12" s="37">
        <f>IF(C12-E12&gt;0,+C12-E12,0)</f>
        <v/>
      </c>
      <c r="H12" s="37">
        <f>IF(F12-D12&gt;0,+F12-D12,0)</f>
        <v/>
      </c>
      <c r="I12" s="37">
        <f>SUM(G12:H12)</f>
        <v/>
      </c>
      <c r="J12" s="37">
        <f>IF(C12-E12&lt;0,+(+C12-E12)*-1,0)</f>
        <v/>
      </c>
      <c r="K12" s="37">
        <f>IF(F12-D12&lt;0,+(+F12-D12)*-1,0)</f>
        <v/>
      </c>
      <c r="L12" s="38">
        <f>+J12+K12</f>
        <v/>
      </c>
      <c r="M12" s="39" t="n"/>
      <c r="N12" s="40" t="n"/>
      <c r="O12" s="40">
        <f>+(+F12-E12)</f>
        <v/>
      </c>
      <c r="P12" s="40" t="n"/>
      <c r="Q12" s="40" t="n"/>
      <c r="R12" s="40" t="n"/>
      <c r="S12" s="40">
        <f>+F12-E12</f>
        <v/>
      </c>
    </row>
    <row r="13" ht="13.5" customHeight="1">
      <c r="A13" s="24" t="n">
        <v>2</v>
      </c>
      <c r="B13" s="92" t="n">
        <v>46149</v>
      </c>
      <c r="C13" s="26" t="n">
        <v>0.2916666666666667</v>
      </c>
      <c r="D13" s="26" t="n">
        <v>0.8541666666666666</v>
      </c>
      <c r="E13" s="93" t="n">
        <v>0.2893634259259259</v>
      </c>
      <c r="F13" s="93" t="n">
        <v>0.8546875</v>
      </c>
      <c r="G13" s="28">
        <f>IF(C13-E13&gt;0,+C13-E13,0)</f>
        <v/>
      </c>
      <c r="H13" s="28">
        <f>IF(F13-D13&gt;0,+F13-D13,0)</f>
        <v/>
      </c>
      <c r="I13" s="28">
        <f>SUM(G13:H13)</f>
        <v/>
      </c>
      <c r="J13" s="28">
        <f>IF(C13-E13&lt;0,+(+C13-E13)*-1,0)</f>
        <v/>
      </c>
      <c r="K13" s="28">
        <f>IF(F13-D13&lt;0,+(+F13-D13)*-1,0)</f>
        <v/>
      </c>
      <c r="L13" s="29">
        <f>+J13+K13</f>
        <v/>
      </c>
      <c r="M13" s="30" t="n">
        <v>0.25</v>
      </c>
      <c r="N13" s="31">
        <f>IF((+M13-E13)&gt;0,(+M13-E13),0)</f>
        <v/>
      </c>
      <c r="O13" s="32">
        <f>+(+F13-E13)</f>
        <v/>
      </c>
      <c r="P13" s="31" t="n">
        <v>0.3333333333333333</v>
      </c>
      <c r="Q13" s="30" t="n">
        <v>0.01041666666666667</v>
      </c>
      <c r="R13" s="31">
        <f>IF((+O13-P13-Q13)&gt;0,(O13-P13-Q13),0)</f>
        <v/>
      </c>
      <c r="S13" s="31" t="n"/>
    </row>
    <row r="14" ht="13.5" customHeight="1">
      <c r="A14" s="24" t="n">
        <v>2</v>
      </c>
      <c r="B14" s="92" t="n">
        <v>46150</v>
      </c>
      <c r="C14" s="26" t="n">
        <v>0.2916666666666667</v>
      </c>
      <c r="D14" s="26" t="n">
        <v>0.8541666666666666</v>
      </c>
      <c r="E14" s="93" t="n">
        <v>0.291724537037037</v>
      </c>
      <c r="F14" s="93" t="n">
        <v>0.6287962962962963</v>
      </c>
      <c r="G14" s="28">
        <f>IF(C14-E14&gt;0,+C14-E14,0)</f>
        <v/>
      </c>
      <c r="H14" s="28">
        <f>IF(F14-D14&gt;0,+F14-D14,0)</f>
        <v/>
      </c>
      <c r="I14" s="28">
        <f>SUM(G14:H14)</f>
        <v/>
      </c>
      <c r="J14" s="28">
        <f>IF(C14-E14&lt;0,+(+C14-E14)*-1,0)</f>
        <v/>
      </c>
      <c r="K14" s="28">
        <f>IF(F14-D14&lt;0,+(+F14-D14)*-1,0)</f>
        <v/>
      </c>
      <c r="L14" s="29">
        <f>+J14+K14</f>
        <v/>
      </c>
      <c r="M14" s="30" t="n">
        <v>0.25</v>
      </c>
      <c r="N14" s="31">
        <f>IF((+M14-E14)&gt;0,(+M14-E14),0)</f>
        <v/>
      </c>
      <c r="O14" s="32">
        <f>+(+F14-E14)</f>
        <v/>
      </c>
      <c r="P14" s="31" t="n">
        <v>0.3333333333333333</v>
      </c>
      <c r="Q14" s="30" t="n"/>
      <c r="R14" s="31">
        <f>IF((+O14-P14-Q14)&gt;0,(O14-P14-Q14),0)</f>
        <v/>
      </c>
      <c r="S14" s="31" t="n"/>
    </row>
    <row r="15" ht="15" customHeight="1">
      <c r="A15" s="24" t="n">
        <v>2</v>
      </c>
      <c r="B15" s="92" t="n">
        <v>46151</v>
      </c>
      <c r="C15" s="26" t="n">
        <v>0.2916666666666667</v>
      </c>
      <c r="D15" s="26" t="n">
        <v>0.8541666666666666</v>
      </c>
      <c r="E15" s="93" t="n">
        <v>0.2919212962962963</v>
      </c>
      <c r="F15" s="93" t="n">
        <v>0.8480555555555556</v>
      </c>
      <c r="G15" s="28">
        <f>IF(C15-E15&gt;0,+C15-E15,0)</f>
        <v/>
      </c>
      <c r="H15" s="28">
        <f>IF(F15-D15&gt;0,+F15-D15,0)</f>
        <v/>
      </c>
      <c r="I15" s="28">
        <f>SUM(G15:H15)</f>
        <v/>
      </c>
      <c r="J15" s="28">
        <f>IF(C15-E15&lt;0,+(+C15-E15)*-1,0)</f>
        <v/>
      </c>
      <c r="K15" s="28">
        <f>IF(F15-D15&lt;0,+(+F15-D15)*-1,0)</f>
        <v/>
      </c>
      <c r="L15" s="29">
        <f>+J15+K15</f>
        <v/>
      </c>
      <c r="M15" s="30" t="n">
        <v>0.25</v>
      </c>
      <c r="N15" s="31">
        <f>IF((+M15-E15)&gt;0,(+M15-E15),0)</f>
        <v/>
      </c>
      <c r="O15" s="32">
        <f>+(+F15-E15)</f>
        <v/>
      </c>
      <c r="P15" s="31" t="n">
        <v>0.3333333333333333</v>
      </c>
      <c r="Q15" s="30" t="n">
        <v>0.01041666666666667</v>
      </c>
      <c r="R15" s="31">
        <f>IF((+O15-P15-Q15)&gt;0,(O15-P15-Q15),0)</f>
        <v/>
      </c>
      <c r="S15" s="31" t="n"/>
    </row>
    <row r="16" ht="13.5" customHeight="1">
      <c r="A16" s="24" t="n">
        <v>2</v>
      </c>
      <c r="B16" s="92" t="n">
        <v>46153</v>
      </c>
      <c r="C16" s="26" t="n">
        <v>0.2916666666666667</v>
      </c>
      <c r="D16" s="26" t="n">
        <v>0.8541666666666666</v>
      </c>
      <c r="E16" s="93" t="n">
        <v>0.2897916666666667</v>
      </c>
      <c r="F16" s="93" t="n">
        <v>0.8612037037037037</v>
      </c>
      <c r="G16" s="28">
        <f>IF(C16-E16&gt;0,+C16-E16,0)</f>
        <v/>
      </c>
      <c r="H16" s="28">
        <f>IF(F16-D16&gt;0,+F16-D16,0)</f>
        <v/>
      </c>
      <c r="I16" s="28">
        <f>SUM(G16:H16)</f>
        <v/>
      </c>
      <c r="J16" s="28">
        <f>IF(C16-E16&lt;0,+(+C16-E16)*-1,0)</f>
        <v/>
      </c>
      <c r="K16" s="28">
        <f>IF(F16-D16&lt;0,+(+F16-D16)*-1,0)</f>
        <v/>
      </c>
      <c r="L16" s="29">
        <f>+J16+K16</f>
        <v/>
      </c>
      <c r="M16" s="30" t="n">
        <v>0.25</v>
      </c>
      <c r="N16" s="31">
        <f>IF((+M16-E16)&gt;0,(+M16-E16),0)</f>
        <v/>
      </c>
      <c r="O16" s="32">
        <f>+(+F16-E16)</f>
        <v/>
      </c>
      <c r="P16" s="31" t="n">
        <v>0.3333333333333333</v>
      </c>
      <c r="Q16" s="30" t="n"/>
      <c r="R16" s="31">
        <f>IF((+O16-P16-Q16)&gt;0,(O16-P16-Q16),0)</f>
        <v/>
      </c>
      <c r="S16" s="31" t="n"/>
    </row>
    <row r="17" ht="15" customHeight="1">
      <c r="A17" s="24" t="n">
        <v>2</v>
      </c>
      <c r="B17" s="92" t="n">
        <v>46154</v>
      </c>
      <c r="C17" s="26" t="n">
        <v>0.2916666666666667</v>
      </c>
      <c r="D17" s="26" t="n">
        <v>0.8541666666666666</v>
      </c>
      <c r="E17" s="93" t="n">
        <v>0.2897685185185185</v>
      </c>
      <c r="F17" s="93" t="n">
        <v>0.6246527777777777</v>
      </c>
      <c r="G17" s="28">
        <f>IF(C17-E17&gt;0,+C17-E17,0)</f>
        <v/>
      </c>
      <c r="H17" s="28">
        <f>IF(F17-D17&gt;0,+F17-D17,0)</f>
        <v/>
      </c>
      <c r="I17" s="28">
        <f>SUM(G17:H17)</f>
        <v/>
      </c>
      <c r="J17" s="28">
        <f>IF(C17-E17&lt;0,+(+C17-E17)*-1,0)</f>
        <v/>
      </c>
      <c r="K17" s="28">
        <f>IF(F17-D17&lt;0,+(+F17-D17)*-1,0)</f>
        <v/>
      </c>
      <c r="L17" s="29">
        <f>+J17+K17</f>
        <v/>
      </c>
      <c r="M17" s="30" t="n">
        <v>0.25</v>
      </c>
      <c r="N17" s="31">
        <f>IF((+M17-E17)&gt;0,(+M17-E17),0)</f>
        <v/>
      </c>
      <c r="O17" s="32">
        <f>+(+F17-E17)</f>
        <v/>
      </c>
      <c r="P17" s="31" t="n">
        <v>0.3333333333333333</v>
      </c>
      <c r="Q17" s="30" t="n">
        <v>0.01041666666666667</v>
      </c>
      <c r="R17" s="31">
        <f>IF((+O17-P17-Q17)&gt;0,(O17-P17-Q17),0)</f>
        <v/>
      </c>
      <c r="S17" s="31" t="n"/>
    </row>
    <row r="18" ht="13.5" customHeight="1">
      <c r="A18" s="33" t="n">
        <v>2</v>
      </c>
      <c r="B18" s="94" t="n">
        <v>46155</v>
      </c>
      <c r="C18" s="35" t="n">
        <v>0.2916666666666667</v>
      </c>
      <c r="D18" s="35" t="n">
        <v>0.8541666666666666</v>
      </c>
      <c r="E18" s="95" t="n">
        <v>0.2906365740740741</v>
      </c>
      <c r="F18" s="95" t="n">
        <v>0.8611458333333334</v>
      </c>
      <c r="G18" s="37">
        <f>IF(C18-E18&gt;0,+C18-E18,0)</f>
        <v/>
      </c>
      <c r="H18" s="37">
        <f>IF(F18-D18&gt;0,+F18-D18,0)</f>
        <v/>
      </c>
      <c r="I18" s="37">
        <f>SUM(G18:H18)</f>
        <v/>
      </c>
      <c r="J18" s="37">
        <f>IF(C18-E18&lt;0,+(+C18-E18)*-1,0)</f>
        <v/>
      </c>
      <c r="K18" s="37">
        <f>IF(F18-D18&lt;0,+(+F18-D18)*-1,0)</f>
        <v/>
      </c>
      <c r="L18" s="38">
        <f>+J18+K18</f>
        <v/>
      </c>
      <c r="M18" s="39" t="n"/>
      <c r="N18" s="40" t="n"/>
      <c r="O18" s="40">
        <f>+(+F18-E18)</f>
        <v/>
      </c>
      <c r="P18" s="40" t="n"/>
      <c r="Q18" s="40" t="n"/>
      <c r="R18" s="40" t="n"/>
      <c r="S18" s="40">
        <f>+F18-E18</f>
        <v/>
      </c>
    </row>
    <row r="19" ht="15.75" customHeight="1">
      <c r="A19" s="24" t="n">
        <v>2</v>
      </c>
      <c r="B19" s="92" t="n">
        <v>46156</v>
      </c>
      <c r="C19" s="26" t="n">
        <v>0.2916666666666667</v>
      </c>
      <c r="D19" s="26" t="n">
        <v>0.8541666666666666</v>
      </c>
      <c r="E19" s="93" t="n">
        <v>0.291087962962963</v>
      </c>
      <c r="F19" s="93" t="n">
        <v>0.6284259259259259</v>
      </c>
      <c r="G19" s="28">
        <f>IF(C19-E19&gt;0,+C19-E19,0)</f>
        <v/>
      </c>
      <c r="H19" s="28">
        <f>IF(F19-D19&gt;0,+F19-D19,0)</f>
        <v/>
      </c>
      <c r="I19" s="28">
        <f>SUM(G19:H19)</f>
        <v/>
      </c>
      <c r="J19" s="28">
        <f>IF(C19-E19&lt;0,+(+C19-E19)*-1,0)</f>
        <v/>
      </c>
      <c r="K19" s="28">
        <f>IF(F19-D19&lt;0,+(+F19-D19)*-1,0)</f>
        <v/>
      </c>
      <c r="L19" s="29">
        <f>+J19+K19</f>
        <v/>
      </c>
      <c r="M19" s="30" t="n">
        <v>0.25</v>
      </c>
      <c r="N19" s="31">
        <f>IF((+M19-E19)&gt;0,(+M19-E19),0)</f>
        <v/>
      </c>
      <c r="O19" s="32">
        <f>+(+F19-E19)</f>
        <v/>
      </c>
      <c r="P19" s="31" t="n">
        <v>0.3333333333333333</v>
      </c>
      <c r="Q19" s="30" t="n"/>
      <c r="R19" s="31">
        <f>IF((+O19-P19-Q19)&gt;0,(O19-P19-Q19),0)</f>
        <v/>
      </c>
      <c r="S19" s="31" t="n"/>
    </row>
    <row r="20" ht="13.5" customHeight="1">
      <c r="A20" s="24" t="n">
        <v>2</v>
      </c>
      <c r="B20" s="92" t="n">
        <v>46157</v>
      </c>
      <c r="C20" s="26" t="n">
        <v>0.2916666666666667</v>
      </c>
      <c r="D20" s="26" t="n">
        <v>0.8541666666666666</v>
      </c>
      <c r="E20" s="93" t="n">
        <v>0.2920717592592593</v>
      </c>
      <c r="F20" s="93" t="n">
        <v>0.8587615740740741</v>
      </c>
      <c r="G20" s="28">
        <f>IF(C20-E20&gt;0,+C20-E20,0)</f>
        <v/>
      </c>
      <c r="H20" s="28">
        <f>IF(F20-D20&gt;0,+F20-D20,0)</f>
        <v/>
      </c>
      <c r="I20" s="28">
        <f>SUM(G20:H20)</f>
        <v/>
      </c>
      <c r="J20" s="28">
        <f>IF(C20-E20&lt;0,+(+C20-E20)*-1,0)</f>
        <v/>
      </c>
      <c r="K20" s="28">
        <f>IF(F20-D20&lt;0,+(+F20-D20)*-1,0)</f>
        <v/>
      </c>
      <c r="L20" s="29">
        <f>+J20+K20</f>
        <v/>
      </c>
      <c r="M20" s="30" t="n">
        <v>0.25</v>
      </c>
      <c r="N20" s="31">
        <f>IF((+M20-E20)&gt;0,(+M20-E20),0)</f>
        <v/>
      </c>
      <c r="O20" s="32">
        <f>+(+F20-E20)</f>
        <v/>
      </c>
      <c r="P20" s="31" t="n">
        <v>0.3333333333333333</v>
      </c>
      <c r="Q20" s="30" t="n">
        <v>0.01041666666666667</v>
      </c>
      <c r="R20" s="31">
        <f>IF((+O20-P20-Q20)&gt;0,(O20-P20-Q20),0)</f>
        <v/>
      </c>
      <c r="S20" s="31" t="n"/>
    </row>
    <row r="21" ht="15" customHeight="1">
      <c r="A21" s="24" t="n">
        <v>2</v>
      </c>
      <c r="B21" s="92" t="n">
        <v>46158</v>
      </c>
      <c r="C21" s="26" t="n">
        <v>0.2916666666666667</v>
      </c>
      <c r="D21" s="26" t="n">
        <v>0.8541666666666666</v>
      </c>
      <c r="E21" s="93" t="n">
        <v>0.2894328703703704</v>
      </c>
      <c r="F21" s="93" t="n">
        <v>0.8346990740740741</v>
      </c>
      <c r="G21" s="28">
        <f>IF(C21-E21&gt;0,+C21-E21,0)</f>
        <v/>
      </c>
      <c r="H21" s="28">
        <f>IF(F21-D21&gt;0,+F21-D21,0)</f>
        <v/>
      </c>
      <c r="I21" s="28">
        <f>SUM(G21:H21)</f>
        <v/>
      </c>
      <c r="J21" s="28">
        <f>IF(C21-E21&lt;0,+(+C21-E21)*-1,0)</f>
        <v/>
      </c>
      <c r="K21" s="28">
        <f>IF(F21-D21&lt;0,+(+F21-D21)*-1,0)</f>
        <v/>
      </c>
      <c r="L21" s="29">
        <f>+J21+K21</f>
        <v/>
      </c>
      <c r="M21" s="30" t="n">
        <v>0.25</v>
      </c>
      <c r="N21" s="31">
        <f>IF((+M21-E21)&gt;0,(+M21-E21),0)</f>
        <v/>
      </c>
      <c r="O21" s="32">
        <f>+(+F21-E21)</f>
        <v/>
      </c>
      <c r="P21" s="31" t="n">
        <v>0.3333333333333333</v>
      </c>
      <c r="Q21" s="30" t="n"/>
      <c r="R21" s="31">
        <f>IF((+O21-P21-Q21)&gt;0,(O21-P21-Q21),0)</f>
        <v/>
      </c>
      <c r="S21" s="31" t="n"/>
    </row>
    <row r="22" ht="13.5" customHeight="1">
      <c r="A22" s="24" t="n">
        <v>2</v>
      </c>
      <c r="B22" s="92" t="n">
        <v>46160</v>
      </c>
      <c r="C22" s="26" t="n">
        <v>0.2916666666666667</v>
      </c>
      <c r="D22" s="26" t="n">
        <v>0.8541666666666666</v>
      </c>
      <c r="E22" s="93" t="n">
        <v>0.2890162037037037</v>
      </c>
      <c r="F22" s="93" t="n">
        <v>0.6316203703703703</v>
      </c>
      <c r="G22" s="28">
        <f>IF(C22-E22&gt;0,+C22-E22,0)</f>
        <v/>
      </c>
      <c r="H22" s="28">
        <f>IF(F22-D22&gt;0,+F22-D22,0)</f>
        <v/>
      </c>
      <c r="I22" s="28">
        <f>SUM(G22:H22)</f>
        <v/>
      </c>
      <c r="J22" s="28">
        <f>IF(C22-E22&lt;0,+(+C22-E22)*-1,0)</f>
        <v/>
      </c>
      <c r="K22" s="28">
        <f>IF(F22-D22&lt;0,+(+F22-D22)*-1,0)</f>
        <v/>
      </c>
      <c r="L22" s="29">
        <f>+J22+K22</f>
        <v/>
      </c>
      <c r="M22" s="30" t="n">
        <v>0.25</v>
      </c>
      <c r="N22" s="31">
        <f>IF((+M22-E22)&gt;0,(+M22-E22),0)</f>
        <v/>
      </c>
      <c r="O22" s="32">
        <f>+(+F22-E22)</f>
        <v/>
      </c>
      <c r="P22" s="31" t="n">
        <v>0.3333333333333333</v>
      </c>
      <c r="Q22" s="30" t="n">
        <v>0.01041666666666667</v>
      </c>
      <c r="R22" s="31">
        <f>IF((+O22-P22-Q22)&gt;0,(O22-P22-Q22),0)</f>
        <v/>
      </c>
      <c r="S22" s="31" t="n"/>
    </row>
    <row r="23" ht="15" customHeight="1">
      <c r="A23" s="24" t="n">
        <v>2</v>
      </c>
      <c r="B23" s="92" t="n">
        <v>46161</v>
      </c>
      <c r="C23" s="26" t="n">
        <v>0.2916666666666667</v>
      </c>
      <c r="D23" s="26" t="n">
        <v>0.8541666666666666</v>
      </c>
      <c r="E23" s="93" t="n">
        <v>0.2893287037037037</v>
      </c>
      <c r="F23" s="93" t="n">
        <v>0.8603125</v>
      </c>
      <c r="G23" s="28">
        <f>IF(C23-E23&gt;0,+C23-E23,0)</f>
        <v/>
      </c>
      <c r="H23" s="28">
        <f>IF(F23-D23&gt;0,+F23-D23,0)</f>
        <v/>
      </c>
      <c r="I23" s="28">
        <f>SUM(G23:H23)</f>
        <v/>
      </c>
      <c r="J23" s="28">
        <f>IF(C23-E23&lt;0,+(+C23-E23)*-1,0)</f>
        <v/>
      </c>
      <c r="K23" s="28">
        <f>IF(F23-D23&lt;0,+(+F23-D23)*-1,0)</f>
        <v/>
      </c>
      <c r="L23" s="29">
        <f>+J23+K23</f>
        <v/>
      </c>
      <c r="M23" s="30" t="n">
        <v>0.25</v>
      </c>
      <c r="N23" s="31">
        <f>IF((+M23-E23)&gt;0,(+M23-E23),0)</f>
        <v/>
      </c>
      <c r="O23" s="32">
        <f>+(+F23-E23)</f>
        <v/>
      </c>
      <c r="P23" s="31" t="n">
        <v>0.3333333333333333</v>
      </c>
      <c r="Q23" s="30" t="n"/>
      <c r="R23" s="31">
        <f>IF((+O23-P23-Q23)&gt;0,(O23-P23-Q23),0)</f>
        <v/>
      </c>
      <c r="S23" s="31" t="n"/>
    </row>
    <row r="24" ht="13.5" customHeight="1">
      <c r="A24" s="33" t="n">
        <v>2</v>
      </c>
      <c r="B24" s="94" t="n">
        <v>46162</v>
      </c>
      <c r="C24" s="35" t="n">
        <v>0.2916666666666667</v>
      </c>
      <c r="D24" s="35" t="n">
        <v>0.8541666666666666</v>
      </c>
      <c r="E24" s="95" t="n">
        <v>0.2903935185185185</v>
      </c>
      <c r="F24" s="95" t="n">
        <v>0.6268287037037037</v>
      </c>
      <c r="G24" s="37">
        <f>IF(C24-E24&gt;0,+C24-E24,0)</f>
        <v/>
      </c>
      <c r="H24" s="37">
        <f>IF(F24-D24&gt;0,+F24-D24,0)</f>
        <v/>
      </c>
      <c r="I24" s="37">
        <f>SUM(G24:H24)</f>
        <v/>
      </c>
      <c r="J24" s="37">
        <f>IF(C24-E24&lt;0,+(+C24-E24)*-1,0)</f>
        <v/>
      </c>
      <c r="K24" s="37">
        <f>IF(F24-D24&lt;0,+(+F24-D24)*-1,0)</f>
        <v/>
      </c>
      <c r="L24" s="38">
        <f>+J24+K24</f>
        <v/>
      </c>
      <c r="M24" s="39" t="n"/>
      <c r="N24" s="40" t="n"/>
      <c r="O24" s="40">
        <f>+(+F24-E24)</f>
        <v/>
      </c>
      <c r="P24" s="40" t="n"/>
      <c r="Q24" s="40" t="n"/>
      <c r="R24" s="40" t="n"/>
      <c r="S24" s="40">
        <f>+F24-E24</f>
        <v/>
      </c>
    </row>
    <row r="25" ht="13.5" customHeight="1">
      <c r="A25" s="24" t="n">
        <v>2</v>
      </c>
      <c r="B25" s="92" t="n">
        <v>46163</v>
      </c>
      <c r="C25" s="26" t="n">
        <v>0.2916666666666667</v>
      </c>
      <c r="D25" s="26" t="n">
        <v>0.8541666666666666</v>
      </c>
      <c r="E25" s="93" t="n">
        <v>0.2893634259259259</v>
      </c>
      <c r="F25" s="93" t="n">
        <v>0.8582407407407407</v>
      </c>
      <c r="G25" s="28">
        <f>IF(C25-E25&gt;0,+C25-E25,0)</f>
        <v/>
      </c>
      <c r="H25" s="28">
        <f>IF(F25-D25&gt;0,+F25-D25,0)</f>
        <v/>
      </c>
      <c r="I25" s="28">
        <f>SUM(G25:H25)</f>
        <v/>
      </c>
      <c r="J25" s="28">
        <f>IF(C25-E25&lt;0,+(+C25-E25)*-1,0)</f>
        <v/>
      </c>
      <c r="K25" s="28">
        <f>IF(F25-D25&lt;0,+(+F25-D25)*-1,0)</f>
        <v/>
      </c>
      <c r="L25" s="29">
        <f>+J25+K25</f>
        <v/>
      </c>
      <c r="M25" s="30" t="n">
        <v>0.25</v>
      </c>
      <c r="N25" s="31">
        <f>IF((+M25-E25)&gt;0,(+M25-E25),0)</f>
        <v/>
      </c>
      <c r="O25" s="32">
        <f>+(+F25-E25)</f>
        <v/>
      </c>
      <c r="P25" s="31" t="n">
        <v>0.3333333333333333</v>
      </c>
      <c r="Q25" s="30" t="n">
        <v>0.01041666666666667</v>
      </c>
      <c r="R25" s="31">
        <f>IF((+O25-P25-Q25)&gt;0,(O25-P25-Q25),0)</f>
        <v/>
      </c>
      <c r="S25" s="31" t="n"/>
    </row>
    <row r="26" ht="13.5" customHeight="1">
      <c r="A26" s="24" t="n">
        <v>2</v>
      </c>
      <c r="B26" s="92" t="n">
        <v>46164</v>
      </c>
      <c r="C26" s="26" t="n">
        <v>0.2916666666666667</v>
      </c>
      <c r="D26" s="26" t="n">
        <v>0.8541666666666666</v>
      </c>
      <c r="E26" s="93" t="n">
        <v>0.2904976851851852</v>
      </c>
      <c r="F26" s="93" t="n">
        <v>0.6322569444444445</v>
      </c>
      <c r="G26" s="28">
        <f>IF(C26-E26&gt;0,+C26-E26,0)</f>
        <v/>
      </c>
      <c r="H26" s="28">
        <f>IF(F26-D26&gt;0,+F26-D26,0)</f>
        <v/>
      </c>
      <c r="I26" s="28">
        <f>SUM(G26:H26)</f>
        <v/>
      </c>
      <c r="J26" s="28">
        <f>IF(C26-E26&lt;0,+(+C26-E26)*-1,0)</f>
        <v/>
      </c>
      <c r="K26" s="28">
        <f>IF(F26-D26&lt;0,+(+F26-D26)*-1,0)</f>
        <v/>
      </c>
      <c r="L26" s="29">
        <f>+J26+K26</f>
        <v/>
      </c>
      <c r="M26" s="30" t="n">
        <v>0.25</v>
      </c>
      <c r="N26" s="31">
        <f>IF((+M26-E26)&gt;0,(+M26-E26),0)</f>
        <v/>
      </c>
      <c r="O26" s="32">
        <f>+(+F26-E26)</f>
        <v/>
      </c>
      <c r="P26" s="31" t="n">
        <v>0.3333333333333333</v>
      </c>
      <c r="Q26" s="30" t="n"/>
      <c r="R26" s="31">
        <f>IF((+O26-P26-Q26)&gt;0,(O26-P26-Q26),0)</f>
        <v/>
      </c>
      <c r="S26" s="31" t="n"/>
    </row>
    <row r="27" ht="15" customHeight="1">
      <c r="A27" s="24" t="n">
        <v>2</v>
      </c>
      <c r="B27" s="92" t="n">
        <v>46165</v>
      </c>
      <c r="C27" s="26" t="n">
        <v>0.2916666666666667</v>
      </c>
      <c r="D27" s="26" t="n">
        <v>0.8541666666666666</v>
      </c>
      <c r="E27" s="93" t="n">
        <v>0.2899305555555556</v>
      </c>
      <c r="F27" s="93" t="n">
        <v>0.8397916666666667</v>
      </c>
      <c r="G27" s="28">
        <f>IF(C27-E27&gt;0,+C27-E27,0)</f>
        <v/>
      </c>
      <c r="H27" s="28">
        <f>IF(F27-D27&gt;0,+F27-D27,0)</f>
        <v/>
      </c>
      <c r="I27" s="28">
        <f>SUM(G27:H27)</f>
        <v/>
      </c>
      <c r="J27" s="28">
        <f>IF(C27-E27&lt;0,+(+C27-E27)*-1,0)</f>
        <v/>
      </c>
      <c r="K27" s="28">
        <f>IF(F27-D27&lt;0,+(+F27-D27)*-1,0)</f>
        <v/>
      </c>
      <c r="L27" s="29">
        <f>+J27+K27</f>
        <v/>
      </c>
      <c r="M27" s="30" t="n">
        <v>0.25</v>
      </c>
      <c r="N27" s="31">
        <f>IF((+M27-E27)&gt;0,(+M27-E27),0)</f>
        <v/>
      </c>
      <c r="O27" s="32">
        <f>+(+F27-E27)</f>
        <v/>
      </c>
      <c r="P27" s="31" t="n">
        <v>0.3333333333333333</v>
      </c>
      <c r="Q27" s="30" t="n">
        <v>0.01041666666666667</v>
      </c>
      <c r="R27" s="31">
        <f>IF((+O27-P27-Q27)&gt;0,(O27-P27-Q27),0)</f>
        <v/>
      </c>
      <c r="S27" s="31" t="n"/>
    </row>
    <row r="28" ht="13.5" customHeight="1">
      <c r="A28" s="24" t="n">
        <v>2</v>
      </c>
      <c r="B28" s="92" t="n">
        <v>46167</v>
      </c>
      <c r="C28" s="26" t="n">
        <v>0.2916666666666667</v>
      </c>
      <c r="D28" s="26" t="n">
        <v>0.8541666666666666</v>
      </c>
      <c r="E28" s="93" t="n">
        <v>0.2932986111111111</v>
      </c>
      <c r="F28" s="93" t="n">
        <v>0.8369212962962963</v>
      </c>
      <c r="G28" s="28">
        <f>IF(C28-E28&gt;0,+C28-E28,0)</f>
        <v/>
      </c>
      <c r="H28" s="28">
        <f>IF(F28-D28&gt;0,+F28-D28,0)</f>
        <v/>
      </c>
      <c r="I28" s="28">
        <f>SUM(G28:H28)</f>
        <v/>
      </c>
      <c r="J28" s="28">
        <f>IF(C28-E28&lt;0,+(+C28-E28)*-1,0)</f>
        <v/>
      </c>
      <c r="K28" s="28">
        <f>IF(F28-D28&lt;0,+(+F28-D28)*-1,0)</f>
        <v/>
      </c>
      <c r="L28" s="29">
        <f>+J28+K28</f>
        <v/>
      </c>
      <c r="M28" s="30" t="n">
        <v>0.25</v>
      </c>
      <c r="N28" s="31">
        <f>IF((+M28-E28)&gt;0,(+M28-E28),0)</f>
        <v/>
      </c>
      <c r="O28" s="32">
        <f>+(+F28-E28)</f>
        <v/>
      </c>
      <c r="P28" s="31" t="n">
        <v>0.3333333333333333</v>
      </c>
      <c r="Q28" s="30" t="n"/>
      <c r="R28" s="31">
        <f>IF((+O28-P28-Q28)&gt;0,(O28-P28-Q28),0)</f>
        <v/>
      </c>
      <c r="S28" s="31" t="n"/>
    </row>
    <row r="29" ht="15" customHeight="1">
      <c r="A29" s="24" t="n">
        <v>2</v>
      </c>
      <c r="B29" s="92" t="n">
        <v>46168</v>
      </c>
      <c r="C29" s="26" t="n">
        <v>0.2916666666666667</v>
      </c>
      <c r="D29" s="26" t="n">
        <v>0.8541666666666666</v>
      </c>
      <c r="E29" s="93" t="n">
        <v>0.2902777777777778</v>
      </c>
      <c r="F29" s="93" t="n">
        <v>0.6156018518518519</v>
      </c>
      <c r="G29" s="28">
        <f>IF(C29-E29&gt;0,+C29-E29,0)</f>
        <v/>
      </c>
      <c r="H29" s="28">
        <f>IF(F29-D29&gt;0,+F29-D29,0)</f>
        <v/>
      </c>
      <c r="I29" s="28">
        <f>SUM(G29:H29)</f>
        <v/>
      </c>
      <c r="J29" s="28">
        <f>IF(C29-E29&lt;0,+(+C29-E29)*-1,0)</f>
        <v/>
      </c>
      <c r="K29" s="28">
        <f>IF(F29-D29&lt;0,+(+F29-D29)*-1,0)</f>
        <v/>
      </c>
      <c r="L29" s="29">
        <f>+J29+K29</f>
        <v/>
      </c>
      <c r="M29" s="30" t="n">
        <v>0.25</v>
      </c>
      <c r="N29" s="31">
        <f>IF((+M29-E29)&gt;0,(+M29-E29),0)</f>
        <v/>
      </c>
      <c r="O29" s="32">
        <f>+(+F29-E29)</f>
        <v/>
      </c>
      <c r="P29" s="31" t="n">
        <v>0.3333333333333333</v>
      </c>
      <c r="Q29" s="30" t="n">
        <v>0.01041666666666667</v>
      </c>
      <c r="R29" s="31">
        <f>IF((+O29-P29-Q29)&gt;0,(O29-P29-Q29),0)</f>
        <v/>
      </c>
      <c r="S29" s="31" t="n"/>
    </row>
    <row r="30" ht="13.5" customHeight="1">
      <c r="A30" s="33" t="n">
        <v>2</v>
      </c>
      <c r="B30" s="94" t="n">
        <v>46169</v>
      </c>
      <c r="C30" s="35" t="n">
        <v>0.2916666666666667</v>
      </c>
      <c r="D30" s="35" t="n">
        <v>0.8541666666666666</v>
      </c>
      <c r="E30" s="95" t="n">
        <v>0.2907175925925926</v>
      </c>
      <c r="F30" s="95" t="n">
        <v>0.8580324074074074</v>
      </c>
      <c r="G30" s="37">
        <f>IF(C30-E30&gt;0,+C30-E30,0)</f>
        <v/>
      </c>
      <c r="H30" s="37">
        <f>IF(F30-D30&gt;0,+F30-D30,0)</f>
        <v/>
      </c>
      <c r="I30" s="37">
        <f>SUM(G30:H30)</f>
        <v/>
      </c>
      <c r="J30" s="37">
        <f>IF(C30-E30&lt;0,+(+C30-E30)*-1,0)</f>
        <v/>
      </c>
      <c r="K30" s="37">
        <f>IF(F30-D30&lt;0,+(+F30-D30)*-1,0)</f>
        <v/>
      </c>
      <c r="L30" s="38">
        <f>+J30+K30</f>
        <v/>
      </c>
      <c r="M30" s="39" t="n"/>
      <c r="N30" s="40" t="n"/>
      <c r="O30" s="40">
        <f>+(+F30-E30)</f>
        <v/>
      </c>
      <c r="P30" s="40" t="n"/>
      <c r="Q30" s="40" t="n"/>
      <c r="R30" s="40" t="n"/>
      <c r="S30" s="40">
        <f>+F30-E30</f>
        <v/>
      </c>
    </row>
    <row r="31" ht="13.5" customHeight="1">
      <c r="A31" s="24" t="n">
        <v>2</v>
      </c>
      <c r="B31" s="92" t="n">
        <v>46170</v>
      </c>
      <c r="C31" s="26" t="n">
        <v>0.2916666666666667</v>
      </c>
      <c r="D31" s="26" t="n">
        <v>0.8541666666666666</v>
      </c>
      <c r="E31" s="93" t="n">
        <v>0.2906018518518518</v>
      </c>
      <c r="F31" s="93" t="n">
        <v>0.6269907407407408</v>
      </c>
      <c r="G31" s="28">
        <f>IF(C31-E31&gt;0,+C31-E31,0)</f>
        <v/>
      </c>
      <c r="H31" s="28">
        <f>IF(F31-D31&gt;0,+F31-D31,0)</f>
        <v/>
      </c>
      <c r="I31" s="28">
        <f>SUM(G31:H31)</f>
        <v/>
      </c>
      <c r="J31" s="28">
        <f>IF(C31-E31&lt;0,+(+C31-E31)*-1,0)</f>
        <v/>
      </c>
      <c r="K31" s="28">
        <f>IF(F31-D31&lt;0,+(+F31-D31)*-1,0)</f>
        <v/>
      </c>
      <c r="L31" s="29">
        <f>+J31+K31</f>
        <v/>
      </c>
      <c r="M31" s="30" t="n">
        <v>0.25</v>
      </c>
      <c r="N31" s="31">
        <f>IF((+M31-E31)&gt;0,(+M31-E31),0)</f>
        <v/>
      </c>
      <c r="O31" s="32">
        <f>+(+F31-E31)</f>
        <v/>
      </c>
      <c r="P31" s="31" t="n">
        <v>0.3333333333333333</v>
      </c>
      <c r="Q31" s="30" t="n">
        <v>0.01041666666666667</v>
      </c>
      <c r="R31" s="31">
        <f>IF((+O31-P31-Q31)&gt;0,(O31-P31-Q31),0)</f>
        <v/>
      </c>
      <c r="S31" s="31" t="n"/>
    </row>
    <row r="32" ht="15" customHeight="1">
      <c r="A32" s="24" t="n">
        <v>2</v>
      </c>
      <c r="B32" s="92" t="n">
        <v>46171</v>
      </c>
      <c r="C32" s="26" t="n">
        <v>0.2916666666666667</v>
      </c>
      <c r="D32" s="26" t="n">
        <v>0.8541666666666666</v>
      </c>
      <c r="E32" s="93" t="n">
        <v>0.2899652777777778</v>
      </c>
      <c r="F32" s="93" t="n">
        <v>0.8575347222222223</v>
      </c>
      <c r="G32" s="28">
        <f>IF(C32-E32&gt;0,+C32-E32,0)</f>
        <v/>
      </c>
      <c r="H32" s="28">
        <f>IF(F32-D32&gt;0,+F32-D32,0)</f>
        <v/>
      </c>
      <c r="I32" s="28">
        <f>SUM(G32:H32)</f>
        <v/>
      </c>
      <c r="J32" s="28">
        <f>IF(C32-E32&lt;0,+(+C32-E32)*-1,0)</f>
        <v/>
      </c>
      <c r="K32" s="28">
        <f>IF(F32-D32&lt;0,+(+F32-D32)*-1,0)</f>
        <v/>
      </c>
      <c r="L32" s="29">
        <f>+J32+K32</f>
        <v/>
      </c>
      <c r="M32" s="30" t="n">
        <v>0.25</v>
      </c>
      <c r="N32" s="31">
        <f>IF((+M32-E32)&gt;0,(+M32-E32),0)</f>
        <v/>
      </c>
      <c r="O32" s="32">
        <f>+(+F32-E32)</f>
        <v/>
      </c>
      <c r="P32" s="31" t="n">
        <v>0.3333333333333333</v>
      </c>
      <c r="Q32" s="30" t="n"/>
      <c r="R32" s="31">
        <f>IF((+O32-P32-Q32)&gt;0,(O32-P32-Q32),0)</f>
        <v/>
      </c>
      <c r="S32" s="31" t="n"/>
    </row>
    <row r="33" ht="17.25" customHeight="1">
      <c r="A33" s="24" t="n"/>
      <c r="B33" s="96" t="n">
        <v>46172</v>
      </c>
      <c r="C33" s="41" t="n"/>
      <c r="D33" s="41" t="n"/>
      <c r="E33" s="97" t="n">
        <v>0.2860300925925926</v>
      </c>
      <c r="F33" s="93" t="n">
        <v>0.8437962962962963</v>
      </c>
      <c r="G33" s="24" t="n"/>
      <c r="H33" s="24" t="n"/>
      <c r="I33" s="24" t="n"/>
      <c r="J33" s="24" t="n"/>
      <c r="K33" s="24" t="n"/>
      <c r="L33" s="24" t="n"/>
      <c r="M33" s="24" t="n"/>
      <c r="N33" s="44">
        <f>SUM(N7:N32)</f>
        <v/>
      </c>
      <c r="O33" s="44" t="n"/>
      <c r="P33" s="24" t="n"/>
      <c r="Q33" s="24" t="n"/>
      <c r="R33" s="44">
        <f>SUM(R7:R32)</f>
        <v/>
      </c>
      <c r="S33" s="44">
        <f>SUM(S7:S32)</f>
        <v/>
      </c>
    </row>
    <row r="34" ht="14.25" customHeight="1" thickBot="1">
      <c r="A34" s="45" t="n"/>
      <c r="B34" s="46" t="n"/>
      <c r="C34" s="47" t="n"/>
      <c r="D34" s="47" t="n"/>
      <c r="E34" s="48" t="n"/>
      <c r="F34" s="49" t="n"/>
      <c r="G34" s="50" t="n"/>
      <c r="H34" s="51" t="n"/>
      <c r="I34" s="51" t="n"/>
      <c r="J34" s="51" t="n"/>
      <c r="K34" s="51" t="n"/>
      <c r="L34" s="52" t="n"/>
      <c r="M34" s="53" t="n"/>
      <c r="N34" s="54" t="n"/>
      <c r="O34" s="55" t="n"/>
      <c r="P34" s="56" t="n"/>
      <c r="Q34" s="57" t="n"/>
      <c r="R34" s="54" t="n"/>
      <c r="S34" s="54" t="n"/>
    </row>
    <row r="35" ht="54" customHeight="1">
      <c r="A35" s="58" t="n"/>
      <c r="B35" s="59" t="n"/>
      <c r="C35" s="59" t="n"/>
      <c r="D35" s="59" t="n"/>
      <c r="E35" s="60" t="n"/>
      <c r="F35" s="61" t="n"/>
      <c r="G35" s="88" t="inlineStr">
        <is>
          <t>Tipo horas</t>
        </is>
      </c>
      <c r="H35" s="91" t="n"/>
      <c r="I35" s="62" t="inlineStr">
        <is>
          <t>No horas</t>
        </is>
      </c>
      <c r="J35" s="62" t="inlineStr">
        <is>
          <t>No. minutos</t>
        </is>
      </c>
      <c r="K35" s="63" t="inlineStr">
        <is>
          <t>Valor x  hora  US$</t>
        </is>
      </c>
      <c r="L35" s="62" t="inlineStr">
        <is>
          <t xml:space="preserve"> Recargo</t>
        </is>
      </c>
      <c r="M35" s="64" t="inlineStr">
        <is>
          <t>Valor x  hora con recargo                     US$</t>
        </is>
      </c>
      <c r="N35" s="65" t="inlineStr">
        <is>
          <t>Valor        horas          US$</t>
        </is>
      </c>
      <c r="O35" s="66" t="inlineStr">
        <is>
          <t>Valor        minutos          US$</t>
        </is>
      </c>
      <c r="P35" s="67" t="inlineStr">
        <is>
          <t>Valor total US$</t>
        </is>
      </c>
      <c r="Q35" s="57" t="n"/>
      <c r="R35" s="57" t="n"/>
      <c r="S35" s="45" t="n"/>
    </row>
    <row r="36" ht="13.5" customHeight="1">
      <c r="A36" s="68" t="n"/>
      <c r="B36" s="59" t="n"/>
      <c r="C36" s="59" t="n"/>
      <c r="D36" s="59" t="n"/>
      <c r="E36" s="60" t="n"/>
      <c r="F36" s="61" t="n"/>
      <c r="G36" s="24" t="inlineStr">
        <is>
          <t>Horas nocturnas</t>
        </is>
      </c>
      <c r="H36" s="24" t="n"/>
      <c r="I36" s="69" t="n"/>
      <c r="J36" s="69" t="n"/>
      <c r="K36" s="98" t="n">
        <v>2.0083</v>
      </c>
      <c r="L36" s="99" t="n">
        <v>0.25</v>
      </c>
      <c r="M36" s="100">
        <f>+K36*L36</f>
        <v/>
      </c>
      <c r="N36" s="72">
        <f>+I36*M36</f>
        <v/>
      </c>
      <c r="O36" s="73">
        <f>(+M36/60)*J36</f>
        <v/>
      </c>
      <c r="P36" s="74">
        <f>+N36+O36</f>
        <v/>
      </c>
      <c r="Q36" s="45" t="n"/>
      <c r="R36" s="45" t="n"/>
      <c r="S36" s="45" t="n"/>
    </row>
    <row r="37" ht="13.5" customHeight="1">
      <c r="A37" s="68" t="n"/>
      <c r="B37" s="59" t="n"/>
      <c r="C37" s="59" t="n"/>
      <c r="D37" s="59" t="n"/>
      <c r="E37" s="60" t="n"/>
      <c r="F37" s="61" t="n"/>
      <c r="G37" s="24" t="inlineStr">
        <is>
          <t>Horas suplemenarias</t>
        </is>
      </c>
      <c r="H37" s="24" t="n"/>
      <c r="I37" s="69" t="n">
        <v>49</v>
      </c>
      <c r="J37" s="69" t="n">
        <v>45</v>
      </c>
      <c r="K37" s="98" t="n">
        <v>2.0083</v>
      </c>
      <c r="L37" s="99" t="n">
        <v>1.5</v>
      </c>
      <c r="M37" s="100">
        <f>+K37*L37</f>
        <v/>
      </c>
      <c r="N37" s="72">
        <f>+I37*M37</f>
        <v/>
      </c>
      <c r="O37" s="73">
        <f>(+M37/60)*J37</f>
        <v/>
      </c>
      <c r="P37" s="74">
        <f>+N37+O37</f>
        <v/>
      </c>
      <c r="Q37" s="45" t="n"/>
      <c r="R37" s="45" t="n"/>
      <c r="S37" s="45" t="n"/>
    </row>
    <row r="38" ht="13.5" customHeight="1">
      <c r="A38" s="45" t="n"/>
      <c r="B38" s="59" t="n"/>
      <c r="C38" s="59" t="n"/>
      <c r="D38" s="59" t="n"/>
      <c r="E38" s="60" t="n"/>
      <c r="F38" s="61" t="n"/>
      <c r="G38" s="24" t="inlineStr">
        <is>
          <t>Horas extraordinarias</t>
        </is>
      </c>
      <c r="H38" s="24" t="n"/>
      <c r="I38" s="69" t="n">
        <v>100</v>
      </c>
      <c r="J38" s="69" t="n">
        <v>24</v>
      </c>
      <c r="K38" s="98" t="n">
        <v>2.0083</v>
      </c>
      <c r="L38" s="99" t="n">
        <v>2</v>
      </c>
      <c r="M38" s="100">
        <f>+K38*L38</f>
        <v/>
      </c>
      <c r="N38" s="72">
        <f>+I38*M38</f>
        <v/>
      </c>
      <c r="O38" s="73">
        <f>(+M38/60)*J38</f>
        <v/>
      </c>
      <c r="P38" s="74">
        <f>+N38+O38</f>
        <v/>
      </c>
      <c r="Q38" s="45" t="n"/>
      <c r="R38" s="75" t="n"/>
      <c r="S38" s="75" t="n"/>
    </row>
    <row r="39" ht="16.5" customHeight="1" thickBot="1">
      <c r="A39" s="45" t="n"/>
      <c r="B39" s="59" t="n"/>
      <c r="C39" s="59" t="n"/>
      <c r="D39" s="59" t="n"/>
      <c r="E39" s="60" t="n"/>
      <c r="F39" s="61" t="n"/>
      <c r="G39" s="45" t="n"/>
      <c r="H39" s="45" t="n"/>
      <c r="I39" s="45" t="n"/>
      <c r="J39" s="45" t="n"/>
      <c r="K39" s="45" t="n"/>
      <c r="L39" s="24" t="inlineStr">
        <is>
          <t>Total</t>
        </is>
      </c>
      <c r="M39" s="76" t="n"/>
      <c r="N39" s="77">
        <f>SUM(N36:N38)</f>
        <v/>
      </c>
      <c r="O39" s="78">
        <f>SUM(O36:O38)</f>
        <v/>
      </c>
      <c r="P39" s="79">
        <f>SUM(P36:P38)</f>
        <v/>
      </c>
      <c r="Q39" s="45" t="n"/>
      <c r="R39" s="89" t="inlineStr">
        <is>
          <t>FIRMA CONFORME</t>
        </is>
      </c>
      <c r="S39" s="101" t="n"/>
    </row>
    <row r="40"/>
    <row r="41">
      <c r="F41" s="80" t="n"/>
    </row>
    <row r="42"/>
    <row r="43"/>
    <row r="44"/>
    <row r="65272">
      <c r="F65272" s="9" t="inlineStr">
        <is>
          <t>.</t>
        </is>
      </c>
    </row>
  </sheetData>
  <mergeCells count="3">
    <mergeCell ref="G35:H35"/>
    <mergeCell ref="M5:S5"/>
    <mergeCell ref="R39:S39"/>
  </mergeCells>
  <pageMargins left="0" right="0" top="0" bottom="0" header="0" footer="0"/>
  <pageSetup orientation="landscape" paperSize="9" scale="10" horizontalDpi="4294967293" verticalDpi="7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:C6"/>
    </sheetView>
  </sheetViews>
  <sheetFormatPr baseColWidth="10" defaultRowHeight="12.75"/>
  <sheetData>
    <row r="1" ht="20.25" customHeight="1">
      <c r="A1" s="1" t="inlineStr">
        <is>
          <t>CUENTA DE AHORROS</t>
        </is>
      </c>
      <c r="B1" s="1" t="n"/>
    </row>
    <row r="2" ht="20.25" customHeight="1">
      <c r="A2" s="1" t="inlineStr">
        <is>
          <t>BANCO PICHINCHA</t>
        </is>
      </c>
      <c r="B2" s="1" t="n"/>
    </row>
    <row r="3" ht="20.25" customHeight="1">
      <c r="A3" s="1" t="inlineStr">
        <is>
          <t>N: 6284367100</t>
        </is>
      </c>
      <c r="B3" s="1" t="n"/>
    </row>
    <row r="4" ht="20.25" customHeight="1">
      <c r="A4" s="1" t="inlineStr">
        <is>
          <t>Jorge Chavez</t>
        </is>
      </c>
      <c r="B4" s="1" t="n"/>
    </row>
    <row r="5" ht="20.25" customHeight="1">
      <c r="A5" s="1" t="inlineStr">
        <is>
          <t xml:space="preserve">cedula   0201444676 </t>
        </is>
      </c>
      <c r="B5" s="1" t="n"/>
    </row>
    <row r="6" ht="20.25" customHeight="1">
      <c r="A6" s="1" t="n"/>
      <c r="B6" s="1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2014-07-31T13:40:19Z</dcterms:created>
  <dcterms:modified xsi:type="dcterms:W3CDTF">2026-08-02T20:26:35Z</dcterms:modified>
  <cp:lastModifiedBy>PAN CASERO</cp:lastModifiedBy>
  <cp:lastPrinted>2026-06-01T14:30:28Z</cp:lastPrinted>
</cp:coreProperties>
</file>