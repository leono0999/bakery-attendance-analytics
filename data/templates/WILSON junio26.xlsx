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kya\OneDrive\Escritorio\ARCHIVO1\ROLES de pago PANADERIA 2026\HORAS 2026 JUNIO\"/>
    </mc:Choice>
  </mc:AlternateContent>
  <xr:revisionPtr revIDLastSave="0" documentId="13_ncr:1_{53E4AA8A-1C4F-486F-A8AF-471688AC1D1E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junio" sheetId="1" r:id="rId1"/>
    <sheet name="CALCULO 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2" l="1"/>
  <c r="N33" i="2"/>
  <c r="L33" i="2"/>
  <c r="K33" i="2"/>
  <c r="J33" i="2"/>
  <c r="H33" i="2"/>
  <c r="I33" i="2" s="1"/>
  <c r="G33" i="2"/>
  <c r="O32" i="2"/>
  <c r="N32" i="2"/>
  <c r="K32" i="2"/>
  <c r="J32" i="2"/>
  <c r="L32" i="2" s="1"/>
  <c r="I32" i="2"/>
  <c r="H32" i="2"/>
  <c r="G32" i="2"/>
  <c r="O26" i="2"/>
  <c r="N26" i="2"/>
  <c r="K26" i="2"/>
  <c r="L26" i="2" s="1"/>
  <c r="J26" i="2"/>
  <c r="H26" i="2"/>
  <c r="G26" i="2"/>
  <c r="I26" i="2" s="1"/>
  <c r="S31" i="2"/>
  <c r="U31" i="2" s="1"/>
  <c r="O31" i="2"/>
  <c r="K31" i="2"/>
  <c r="J31" i="2"/>
  <c r="H31" i="2"/>
  <c r="G31" i="2"/>
  <c r="O29" i="2"/>
  <c r="N29" i="2"/>
  <c r="K29" i="2"/>
  <c r="J29" i="2"/>
  <c r="H29" i="2"/>
  <c r="G29" i="2"/>
  <c r="O30" i="2"/>
  <c r="N30" i="2"/>
  <c r="K30" i="2"/>
  <c r="J30" i="2"/>
  <c r="H30" i="2"/>
  <c r="G30" i="2"/>
  <c r="O28" i="2"/>
  <c r="N28" i="2"/>
  <c r="K28" i="2"/>
  <c r="J28" i="2"/>
  <c r="H28" i="2"/>
  <c r="G28" i="2"/>
  <c r="O27" i="2"/>
  <c r="N27" i="2"/>
  <c r="K27" i="2"/>
  <c r="J27" i="2"/>
  <c r="H27" i="2"/>
  <c r="G27" i="2"/>
  <c r="O22" i="2"/>
  <c r="N22" i="2"/>
  <c r="K22" i="2"/>
  <c r="J22" i="2"/>
  <c r="H22" i="2"/>
  <c r="G22" i="2"/>
  <c r="I22" i="2" s="1"/>
  <c r="S25" i="2"/>
  <c r="U25" i="2" s="1"/>
  <c r="O25" i="2"/>
  <c r="K25" i="2"/>
  <c r="J25" i="2"/>
  <c r="H25" i="2"/>
  <c r="G25" i="2"/>
  <c r="S19" i="2"/>
  <c r="U19" i="2" s="1"/>
  <c r="O19" i="2"/>
  <c r="K19" i="2"/>
  <c r="J19" i="2"/>
  <c r="H19" i="2"/>
  <c r="G19" i="2"/>
  <c r="S13" i="2"/>
  <c r="U13" i="2" s="1"/>
  <c r="O13" i="2"/>
  <c r="K13" i="2"/>
  <c r="J13" i="2"/>
  <c r="H13" i="2"/>
  <c r="G13" i="2"/>
  <c r="O24" i="2"/>
  <c r="N24" i="2"/>
  <c r="K24" i="2"/>
  <c r="J24" i="2"/>
  <c r="H24" i="2"/>
  <c r="G24" i="2"/>
  <c r="O23" i="2"/>
  <c r="N23" i="2"/>
  <c r="K23" i="2"/>
  <c r="J23" i="2"/>
  <c r="H23" i="2"/>
  <c r="G23" i="2"/>
  <c r="O21" i="2"/>
  <c r="N21" i="2"/>
  <c r="K21" i="2"/>
  <c r="J21" i="2"/>
  <c r="H21" i="2"/>
  <c r="G21" i="2"/>
  <c r="O20" i="2"/>
  <c r="N20" i="2"/>
  <c r="K20" i="2"/>
  <c r="J20" i="2"/>
  <c r="H20" i="2"/>
  <c r="G20" i="2"/>
  <c r="O18" i="2"/>
  <c r="N18" i="2"/>
  <c r="K18" i="2"/>
  <c r="J18" i="2"/>
  <c r="H18" i="2"/>
  <c r="G18" i="2"/>
  <c r="O17" i="2"/>
  <c r="N17" i="2"/>
  <c r="K17" i="2"/>
  <c r="J17" i="2"/>
  <c r="H17" i="2"/>
  <c r="G17" i="2"/>
  <c r="O16" i="2"/>
  <c r="N16" i="2"/>
  <c r="K16" i="2"/>
  <c r="J16" i="2"/>
  <c r="H16" i="2"/>
  <c r="G16" i="2"/>
  <c r="O15" i="2"/>
  <c r="N15" i="2"/>
  <c r="K15" i="2"/>
  <c r="J15" i="2"/>
  <c r="H15" i="2"/>
  <c r="G15" i="2"/>
  <c r="O14" i="2"/>
  <c r="N14" i="2"/>
  <c r="K14" i="2"/>
  <c r="J14" i="2"/>
  <c r="H14" i="2"/>
  <c r="G14" i="2"/>
  <c r="O12" i="2"/>
  <c r="N12" i="2"/>
  <c r="K12" i="2"/>
  <c r="J12" i="2"/>
  <c r="H12" i="2"/>
  <c r="G12" i="2"/>
  <c r="O11" i="2"/>
  <c r="N11" i="2"/>
  <c r="K11" i="2"/>
  <c r="J11" i="2"/>
  <c r="H11" i="2"/>
  <c r="G11" i="2"/>
  <c r="O10" i="2"/>
  <c r="N10" i="2"/>
  <c r="K10" i="2"/>
  <c r="J10" i="2"/>
  <c r="H10" i="2"/>
  <c r="G10" i="2"/>
  <c r="O9" i="2"/>
  <c r="N9" i="2"/>
  <c r="K9" i="2"/>
  <c r="J9" i="2"/>
  <c r="H9" i="2"/>
  <c r="G9" i="2"/>
  <c r="O8" i="2"/>
  <c r="N8" i="2"/>
  <c r="K8" i="2"/>
  <c r="J8" i="2"/>
  <c r="H8" i="2"/>
  <c r="G8" i="2"/>
  <c r="N34" i="2" l="1"/>
  <c r="L29" i="2"/>
  <c r="R34" i="2"/>
  <c r="L27" i="2"/>
  <c r="I28" i="2"/>
  <c r="I31" i="2"/>
  <c r="I29" i="2"/>
  <c r="L31" i="2"/>
  <c r="L30" i="2"/>
  <c r="I30" i="2"/>
  <c r="L28" i="2"/>
  <c r="I27" i="2"/>
  <c r="L13" i="2"/>
  <c r="L22" i="2"/>
  <c r="L20" i="2"/>
  <c r="I23" i="2"/>
  <c r="L24" i="2"/>
  <c r="I21" i="2"/>
  <c r="L14" i="2"/>
  <c r="I16" i="2"/>
  <c r="L21" i="2"/>
  <c r="L19" i="2"/>
  <c r="I15" i="2"/>
  <c r="L16" i="2"/>
  <c r="I17" i="2"/>
  <c r="I12" i="2"/>
  <c r="L18" i="2"/>
  <c r="L25" i="2"/>
  <c r="L12" i="2"/>
  <c r="L15" i="2"/>
  <c r="L17" i="2"/>
  <c r="L23" i="2"/>
  <c r="I13" i="2"/>
  <c r="I24" i="2"/>
  <c r="I8" i="2"/>
  <c r="I10" i="2"/>
  <c r="I14" i="2"/>
  <c r="I18" i="2"/>
  <c r="I25" i="2"/>
  <c r="I11" i="2"/>
  <c r="I20" i="2"/>
  <c r="L8" i="2"/>
  <c r="I19" i="2"/>
  <c r="L9" i="2"/>
  <c r="L10" i="2"/>
  <c r="I9" i="2"/>
  <c r="L11" i="2"/>
  <c r="U34" i="2"/>
  <c r="B15" i="3" l="1"/>
  <c r="B62410" i="2" l="1"/>
  <c r="M40" i="2"/>
  <c r="O40" i="2" s="1"/>
  <c r="M39" i="2"/>
  <c r="N39" i="2" s="1"/>
  <c r="M38" i="2"/>
  <c r="O38" i="2" s="1"/>
  <c r="N38" i="2" l="1"/>
  <c r="P38" i="2" s="1"/>
  <c r="O39" i="2"/>
  <c r="P39" i="2" s="1"/>
  <c r="N40" i="2"/>
  <c r="P40" i="2" s="1"/>
  <c r="P41" i="2" l="1"/>
  <c r="N41" i="2"/>
  <c r="O41" i="2"/>
</calcChain>
</file>

<file path=xl/sharedStrings.xml><?xml version="1.0" encoding="utf-8"?>
<sst xmlns="http://schemas.openxmlformats.org/spreadsheetml/2006/main" count="161" uniqueCount="83">
  <si>
    <t>WILSON ARIAS</t>
  </si>
  <si>
    <t>Entrada</t>
  </si>
  <si>
    <t>Salida</t>
  </si>
  <si>
    <t>HORARIO</t>
  </si>
  <si>
    <t>ENTRADA</t>
  </si>
  <si>
    <t>SALIDA</t>
  </si>
  <si>
    <t>Emp No.</t>
  </si>
  <si>
    <t>Fecha</t>
  </si>
  <si>
    <t>Marco Entrada</t>
  </si>
  <si>
    <t>Marco        Salida</t>
  </si>
  <si>
    <t>CONTROL ASISTENCIA</t>
  </si>
  <si>
    <t>Horas nocturnas, suplementarias y extraordinarias</t>
  </si>
  <si>
    <t>TOTAL</t>
  </si>
  <si>
    <t>Atraso</t>
  </si>
  <si>
    <t>Salida Temprano</t>
  </si>
  <si>
    <t>Horario nocturno  base       mañana</t>
  </si>
  <si>
    <t xml:space="preserve">Horas Nocturnas </t>
  </si>
  <si>
    <t>Horas Suplement Base</t>
  </si>
  <si>
    <t>Horario normal</t>
  </si>
  <si>
    <t>Comida</t>
  </si>
  <si>
    <t xml:space="preserve">Horas Suplementarias </t>
  </si>
  <si>
    <t>Horas Extraordinarias     base</t>
  </si>
  <si>
    <t xml:space="preserve">Horas Extraordinarias </t>
  </si>
  <si>
    <t>Tipo horas</t>
  </si>
  <si>
    <t>No horas</t>
  </si>
  <si>
    <t>No. minutos</t>
  </si>
  <si>
    <t>Valor x  hora  US$</t>
  </si>
  <si>
    <t xml:space="preserve"> Recargo</t>
  </si>
  <si>
    <t>Valor x  hora con recargo                     US$</t>
  </si>
  <si>
    <t>Valor        horas          US$</t>
  </si>
  <si>
    <t>Valor        minutos          US$</t>
  </si>
  <si>
    <t>Valor total US$</t>
  </si>
  <si>
    <t>Horas nocturnas</t>
  </si>
  <si>
    <t>Horas suplemenarias</t>
  </si>
  <si>
    <t>Horas extraordinarias</t>
  </si>
  <si>
    <t>Total</t>
  </si>
  <si>
    <t>FIRMA CONFORME</t>
  </si>
  <si>
    <t>AC-No.</t>
  </si>
  <si>
    <t>IMSS/CURP</t>
  </si>
  <si>
    <t>Nombre</t>
  </si>
  <si>
    <t>Fecha y hora</t>
  </si>
  <si>
    <t>ZAIDA DIDONATO</t>
  </si>
  <si>
    <t>1</t>
  </si>
  <si>
    <t>WILSON A</t>
  </si>
  <si>
    <t>REPORTES DE HORAS RELOJ junio 2026</t>
  </si>
  <si>
    <t>01/06/2026 02:37:16</t>
  </si>
  <si>
    <t>01/06/2026 02:37:18</t>
  </si>
  <si>
    <t>01/06/2026 12:08:49</t>
  </si>
  <si>
    <t>01/06/2026 12:08:51</t>
  </si>
  <si>
    <t>02/06/2026 02:40:36</t>
  </si>
  <si>
    <t>02/06/2026 12:15:47</t>
  </si>
  <si>
    <t>03/06/2026 02:23:41</t>
  </si>
  <si>
    <t>03/06/2026 02:23:42</t>
  </si>
  <si>
    <t>03/06/2026 12:30:11</t>
  </si>
  <si>
    <t>04/06/2026 02:38:08</t>
  </si>
  <si>
    <t>04/06/2026 11:59:08</t>
  </si>
  <si>
    <t>05/06/2026 02:45:03</t>
  </si>
  <si>
    <t>05/06/2026 12:27:57</t>
  </si>
  <si>
    <t>06/06/2026 02:42:00</t>
  </si>
  <si>
    <t>06/06/2026 12:31:11</t>
  </si>
  <si>
    <t>08/06/2026 02:41:31</t>
  </si>
  <si>
    <t>08/06/2026 12:19:38</t>
  </si>
  <si>
    <t>09/06/2026 02:36:18</t>
  </si>
  <si>
    <t>09/06/2026 12:28:57</t>
  </si>
  <si>
    <t>10/06/2026 02:45:08</t>
  </si>
  <si>
    <t>10/06/2026 12:53:36</t>
  </si>
  <si>
    <t>11/06/2026 02:37:20</t>
  </si>
  <si>
    <t>11/06/2026 12:17:25</t>
  </si>
  <si>
    <t>12/06/2026 02:35:38</t>
  </si>
  <si>
    <t>12/06/2026 02:35:40</t>
  </si>
  <si>
    <t>12/06/2026 12:46:43</t>
  </si>
  <si>
    <t>13/06/2026 02:34:18</t>
  </si>
  <si>
    <t>13/06/2026 12:23:27</t>
  </si>
  <si>
    <t>13/06/2026 12:23:29</t>
  </si>
  <si>
    <t>15/06/2026 02:37:06</t>
  </si>
  <si>
    <t>15/06/2026 12:22:15</t>
  </si>
  <si>
    <t>16/06/2026 02:38:15</t>
  </si>
  <si>
    <t>16/06/2026 09:55:44</t>
  </si>
  <si>
    <t>17/06/2026 02:33:55</t>
  </si>
  <si>
    <t>17/06/2026 12:41:14</t>
  </si>
  <si>
    <t>18/06/2026 02:33:27</t>
  </si>
  <si>
    <t>18/06/2026 02:33:29</t>
  </si>
  <si>
    <t>18/06/2026 12:25:34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</si>
</sst>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Eras Medium ITC"/>
      <family val="2"/>
    </font>
    <font>
      <sz val="8"/>
      <name val="Eras Medium ITC"/>
      <family val="2"/>
    </font>
    <font>
      <sz val="8"/>
      <name val="Tahoma"/>
      <family val="2"/>
    </font>
    <font>
      <sz val="8"/>
      <name val="Arial"/>
      <family val="2"/>
    </font>
    <font>
      <sz val="9"/>
      <name val="Malgun Gothic"/>
      <family val="2"/>
    </font>
    <font>
      <i/>
      <sz val="9"/>
      <name val="Malgun Gothic"/>
      <family val="2"/>
    </font>
    <font>
      <sz val="8"/>
      <name val="Tahoma"/>
      <family val="2"/>
    </font>
    <font>
      <sz val="9"/>
      <color theme="0"/>
      <name val="Malgun Gothic"/>
      <family val="2"/>
    </font>
    <font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49" fontId="5" fillId="4" borderId="0" xfId="0" applyNumberFormat="1" applyFont="1" applyFill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21" fontId="7" fillId="0" borderId="2" xfId="0" applyNumberFormat="1" applyFont="1" applyBorder="1" applyAlignment="1">
      <alignment horizontal="center"/>
    </xf>
    <xf numFmtId="0" fontId="8" fillId="0" borderId="0" xfId="0" applyFont="1"/>
    <xf numFmtId="0" fontId="7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1" applyFont="1" applyBorder="1"/>
    <xf numFmtId="14" fontId="7" fillId="0" borderId="2" xfId="1" applyNumberFormat="1" applyFont="1" applyBorder="1"/>
    <xf numFmtId="20" fontId="7" fillId="0" borderId="2" xfId="0" applyNumberFormat="1" applyFont="1" applyBorder="1" applyAlignment="1">
      <alignment horizontal="center"/>
    </xf>
    <xf numFmtId="20" fontId="7" fillId="2" borderId="2" xfId="0" applyNumberFormat="1" applyFont="1" applyFill="1" applyBorder="1" applyAlignment="1">
      <alignment horizontal="center" vertical="center"/>
    </xf>
    <xf numFmtId="21" fontId="7" fillId="0" borderId="2" xfId="0" applyNumberFormat="1" applyFont="1" applyBorder="1" applyAlignment="1">
      <alignment horizontal="right"/>
    </xf>
    <xf numFmtId="20" fontId="7" fillId="0" borderId="2" xfId="0" applyNumberFormat="1" applyFont="1" applyBorder="1" applyAlignment="1">
      <alignment horizontal="right"/>
    </xf>
    <xf numFmtId="21" fontId="7" fillId="2" borderId="2" xfId="0" applyNumberFormat="1" applyFont="1" applyFill="1" applyBorder="1"/>
    <xf numFmtId="21" fontId="7" fillId="0" borderId="2" xfId="0" applyNumberFormat="1" applyFont="1" applyBorder="1"/>
    <xf numFmtId="0" fontId="7" fillId="3" borderId="2" xfId="1" applyFont="1" applyFill="1" applyBorder="1"/>
    <xf numFmtId="14" fontId="7" fillId="3" borderId="2" xfId="1" applyNumberFormat="1" applyFont="1" applyFill="1" applyBorder="1"/>
    <xf numFmtId="21" fontId="7" fillId="3" borderId="2" xfId="1" applyNumberFormat="1" applyFont="1" applyFill="1" applyBorder="1" applyAlignment="1">
      <alignment horizontal="right"/>
    </xf>
    <xf numFmtId="20" fontId="7" fillId="3" borderId="2" xfId="0" applyNumberFormat="1" applyFont="1" applyFill="1" applyBorder="1" applyAlignment="1">
      <alignment horizontal="center"/>
    </xf>
    <xf numFmtId="20" fontId="7" fillId="3" borderId="2" xfId="0" applyNumberFormat="1" applyFont="1" applyFill="1" applyBorder="1" applyAlignment="1">
      <alignment horizontal="center" vertical="center"/>
    </xf>
    <xf numFmtId="21" fontId="7" fillId="3" borderId="2" xfId="0" applyNumberFormat="1" applyFont="1" applyFill="1" applyBorder="1" applyAlignment="1">
      <alignment horizontal="right"/>
    </xf>
    <xf numFmtId="20" fontId="7" fillId="3" borderId="2" xfId="0" applyNumberFormat="1" applyFont="1" applyFill="1" applyBorder="1" applyAlignment="1">
      <alignment horizontal="right"/>
    </xf>
    <xf numFmtId="21" fontId="7" fillId="3" borderId="2" xfId="0" applyNumberFormat="1" applyFont="1" applyFill="1" applyBorder="1" applyAlignment="1">
      <alignment horizontal="center"/>
    </xf>
    <xf numFmtId="21" fontId="7" fillId="3" borderId="2" xfId="0" applyNumberFormat="1" applyFont="1" applyFill="1" applyBorder="1"/>
    <xf numFmtId="0" fontId="7" fillId="0" borderId="2" xfId="0" applyFont="1" applyBorder="1"/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46" fontId="7" fillId="0" borderId="2" xfId="0" applyNumberFormat="1" applyFont="1" applyBorder="1" applyAlignment="1">
      <alignment horizontal="right"/>
    </xf>
    <xf numFmtId="46" fontId="7" fillId="2" borderId="2" xfId="0" applyNumberFormat="1" applyFont="1" applyFill="1" applyBorder="1" applyAlignment="1">
      <alignment horizontal="center"/>
    </xf>
    <xf numFmtId="46" fontId="7" fillId="2" borderId="0" xfId="0" applyNumberFormat="1" applyFont="1" applyFill="1"/>
    <xf numFmtId="49" fontId="7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2" borderId="0" xfId="0" applyFont="1" applyFill="1"/>
    <xf numFmtId="21" fontId="7" fillId="0" borderId="0" xfId="0" applyNumberFormat="1" applyFont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2" fontId="7" fillId="0" borderId="2" xfId="0" applyNumberFormat="1" applyFont="1" applyBorder="1"/>
    <xf numFmtId="164" fontId="7" fillId="0" borderId="2" xfId="2" applyNumberFormat="1" applyFont="1" applyBorder="1"/>
    <xf numFmtId="43" fontId="7" fillId="0" borderId="2" xfId="2" applyFont="1" applyBorder="1"/>
    <xf numFmtId="43" fontId="7" fillId="0" borderId="3" xfId="0" applyNumberFormat="1" applyFont="1" applyBorder="1"/>
    <xf numFmtId="2" fontId="7" fillId="0" borderId="4" xfId="2" applyNumberFormat="1" applyFont="1" applyBorder="1"/>
    <xf numFmtId="2" fontId="7" fillId="2" borderId="2" xfId="0" applyNumberFormat="1" applyFont="1" applyFill="1" applyBorder="1"/>
    <xf numFmtId="2" fontId="7" fillId="0" borderId="5" xfId="0" applyNumberFormat="1" applyFont="1" applyBorder="1"/>
    <xf numFmtId="0" fontId="7" fillId="0" borderId="9" xfId="0" applyFont="1" applyBorder="1"/>
    <xf numFmtId="0" fontId="7" fillId="0" borderId="3" xfId="0" applyFont="1" applyBorder="1"/>
    <xf numFmtId="2" fontId="7" fillId="0" borderId="10" xfId="0" applyNumberFormat="1" applyFont="1" applyBorder="1"/>
    <xf numFmtId="2" fontId="7" fillId="2" borderId="10" xfId="0" applyNumberFormat="1" applyFont="1" applyFill="1" applyBorder="1"/>
    <xf numFmtId="2" fontId="7" fillId="0" borderId="11" xfId="0" applyNumberFormat="1" applyFont="1" applyBorder="1"/>
    <xf numFmtId="21" fontId="7" fillId="0" borderId="0" xfId="1" applyNumberFormat="1" applyFont="1" applyAlignment="1">
      <alignment horizontal="center"/>
    </xf>
    <xf numFmtId="21" fontId="7" fillId="0" borderId="0" xfId="1" applyNumberFormat="1" applyFont="1" applyAlignment="1">
      <alignment horizontal="center" vertical="top"/>
    </xf>
    <xf numFmtId="21" fontId="7" fillId="0" borderId="0" xfId="1" applyNumberFormat="1" applyFont="1"/>
    <xf numFmtId="21" fontId="7" fillId="2" borderId="2" xfId="1" applyNumberFormat="1" applyFont="1" applyFill="1" applyBorder="1" applyAlignment="1">
      <alignment horizontal="right"/>
    </xf>
    <xf numFmtId="49" fontId="5" fillId="4" borderId="13" xfId="0" applyNumberFormat="1" applyFont="1" applyFill="1" applyBorder="1" applyAlignment="1">
      <alignment horizontal="left" vertical="center"/>
    </xf>
    <xf numFmtId="49" fontId="9" fillId="4" borderId="13" xfId="0" applyNumberFormat="1" applyFont="1" applyFill="1" applyBorder="1" applyAlignment="1">
      <alignment horizontal="left" vertical="center"/>
    </xf>
    <xf numFmtId="21" fontId="10" fillId="0" borderId="2" xfId="0" applyNumberFormat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21" fontId="10" fillId="0" borderId="0" xfId="0" applyNumberFormat="1" applyFont="1" applyAlignment="1">
      <alignment horizontal="center" vertical="center"/>
    </xf>
    <xf numFmtId="21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11" fillId="4" borderId="13" xfId="0" applyNumberFormat="1" applyFont="1" applyFill="1" applyBorder="1" applyAlignment="1">
      <alignment horizontal="left" vertical="center"/>
    </xf>
  </cellXfs>
  <cellStyles count="3">
    <cellStyle name="Millares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84E0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9"/>
  <sheetViews>
    <sheetView workbookViewId="0">
      <selection activeCell="D10" sqref="D10"/>
    </sheetView>
  </sheetViews>
  <sheetFormatPr baseColWidth="10" defaultRowHeight="11.25" x14ac:dyDescent="0.2"/>
  <cols>
    <col min="1" max="1" width="5.140625" style="2" customWidth="1"/>
    <col min="2" max="2" width="12.140625" style="2" customWidth="1"/>
    <col min="3" max="3" width="18.7109375" style="2" customWidth="1"/>
    <col min="4" max="4" width="22.85546875" style="2" customWidth="1"/>
    <col min="5" max="245" width="11.42578125" style="2"/>
    <col min="246" max="246" width="20" style="2" customWidth="1"/>
    <col min="247" max="247" width="17.85546875" style="2" customWidth="1"/>
    <col min="248" max="248" width="26.140625" style="2" customWidth="1"/>
    <col min="249" max="501" width="11.42578125" style="2"/>
    <col min="502" max="502" width="20" style="2" customWidth="1"/>
    <col min="503" max="503" width="17.85546875" style="2" customWidth="1"/>
    <col min="504" max="504" width="26.140625" style="2" customWidth="1"/>
    <col min="505" max="757" width="11.42578125" style="2"/>
    <col min="758" max="758" width="20" style="2" customWidth="1"/>
    <col min="759" max="759" width="17.85546875" style="2" customWidth="1"/>
    <col min="760" max="760" width="26.140625" style="2" customWidth="1"/>
    <col min="761" max="1013" width="11.42578125" style="2"/>
    <col min="1014" max="1014" width="20" style="2" customWidth="1"/>
    <col min="1015" max="1015" width="17.85546875" style="2" customWidth="1"/>
    <col min="1016" max="1016" width="26.140625" style="2" customWidth="1"/>
    <col min="1017" max="1269" width="11.42578125" style="2"/>
    <col min="1270" max="1270" width="20" style="2" customWidth="1"/>
    <col min="1271" max="1271" width="17.85546875" style="2" customWidth="1"/>
    <col min="1272" max="1272" width="26.140625" style="2" customWidth="1"/>
    <col min="1273" max="1525" width="11.42578125" style="2"/>
    <col min="1526" max="1526" width="20" style="2" customWidth="1"/>
    <col min="1527" max="1527" width="17.85546875" style="2" customWidth="1"/>
    <col min="1528" max="1528" width="26.140625" style="2" customWidth="1"/>
    <col min="1529" max="1781" width="11.42578125" style="2"/>
    <col min="1782" max="1782" width="20" style="2" customWidth="1"/>
    <col min="1783" max="1783" width="17.85546875" style="2" customWidth="1"/>
    <col min="1784" max="1784" width="26.140625" style="2" customWidth="1"/>
    <col min="1785" max="2037" width="11.42578125" style="2"/>
    <col min="2038" max="2038" width="20" style="2" customWidth="1"/>
    <col min="2039" max="2039" width="17.85546875" style="2" customWidth="1"/>
    <col min="2040" max="2040" width="26.140625" style="2" customWidth="1"/>
    <col min="2041" max="2293" width="11.42578125" style="2"/>
    <col min="2294" max="2294" width="20" style="2" customWidth="1"/>
    <col min="2295" max="2295" width="17.85546875" style="2" customWidth="1"/>
    <col min="2296" max="2296" width="26.140625" style="2" customWidth="1"/>
    <col min="2297" max="2549" width="11.42578125" style="2"/>
    <col min="2550" max="2550" width="20" style="2" customWidth="1"/>
    <col min="2551" max="2551" width="17.85546875" style="2" customWidth="1"/>
    <col min="2552" max="2552" width="26.140625" style="2" customWidth="1"/>
    <col min="2553" max="2805" width="11.42578125" style="2"/>
    <col min="2806" max="2806" width="20" style="2" customWidth="1"/>
    <col min="2807" max="2807" width="17.85546875" style="2" customWidth="1"/>
    <col min="2808" max="2808" width="26.140625" style="2" customWidth="1"/>
    <col min="2809" max="3061" width="11.42578125" style="2"/>
    <col min="3062" max="3062" width="20" style="2" customWidth="1"/>
    <col min="3063" max="3063" width="17.85546875" style="2" customWidth="1"/>
    <col min="3064" max="3064" width="26.140625" style="2" customWidth="1"/>
    <col min="3065" max="3317" width="11.42578125" style="2"/>
    <col min="3318" max="3318" width="20" style="2" customWidth="1"/>
    <col min="3319" max="3319" width="17.85546875" style="2" customWidth="1"/>
    <col min="3320" max="3320" width="26.140625" style="2" customWidth="1"/>
    <col min="3321" max="3573" width="11.42578125" style="2"/>
    <col min="3574" max="3574" width="20" style="2" customWidth="1"/>
    <col min="3575" max="3575" width="17.85546875" style="2" customWidth="1"/>
    <col min="3576" max="3576" width="26.140625" style="2" customWidth="1"/>
    <col min="3577" max="3829" width="11.42578125" style="2"/>
    <col min="3830" max="3830" width="20" style="2" customWidth="1"/>
    <col min="3831" max="3831" width="17.85546875" style="2" customWidth="1"/>
    <col min="3832" max="3832" width="26.140625" style="2" customWidth="1"/>
    <col min="3833" max="4085" width="11.42578125" style="2"/>
    <col min="4086" max="4086" width="20" style="2" customWidth="1"/>
    <col min="4087" max="4087" width="17.85546875" style="2" customWidth="1"/>
    <col min="4088" max="4088" width="26.140625" style="2" customWidth="1"/>
    <col min="4089" max="4341" width="11.42578125" style="2"/>
    <col min="4342" max="4342" width="20" style="2" customWidth="1"/>
    <col min="4343" max="4343" width="17.85546875" style="2" customWidth="1"/>
    <col min="4344" max="4344" width="26.140625" style="2" customWidth="1"/>
    <col min="4345" max="4597" width="11.42578125" style="2"/>
    <col min="4598" max="4598" width="20" style="2" customWidth="1"/>
    <col min="4599" max="4599" width="17.85546875" style="2" customWidth="1"/>
    <col min="4600" max="4600" width="26.140625" style="2" customWidth="1"/>
    <col min="4601" max="4853" width="11.42578125" style="2"/>
    <col min="4854" max="4854" width="20" style="2" customWidth="1"/>
    <col min="4855" max="4855" width="17.85546875" style="2" customWidth="1"/>
    <col min="4856" max="4856" width="26.140625" style="2" customWidth="1"/>
    <col min="4857" max="5109" width="11.42578125" style="2"/>
    <col min="5110" max="5110" width="20" style="2" customWidth="1"/>
    <col min="5111" max="5111" width="17.85546875" style="2" customWidth="1"/>
    <col min="5112" max="5112" width="26.140625" style="2" customWidth="1"/>
    <col min="5113" max="5365" width="11.42578125" style="2"/>
    <col min="5366" max="5366" width="20" style="2" customWidth="1"/>
    <col min="5367" max="5367" width="17.85546875" style="2" customWidth="1"/>
    <col min="5368" max="5368" width="26.140625" style="2" customWidth="1"/>
    <col min="5369" max="5621" width="11.42578125" style="2"/>
    <col min="5622" max="5622" width="20" style="2" customWidth="1"/>
    <col min="5623" max="5623" width="17.85546875" style="2" customWidth="1"/>
    <col min="5624" max="5624" width="26.140625" style="2" customWidth="1"/>
    <col min="5625" max="5877" width="11.42578125" style="2"/>
    <col min="5878" max="5878" width="20" style="2" customWidth="1"/>
    <col min="5879" max="5879" width="17.85546875" style="2" customWidth="1"/>
    <col min="5880" max="5880" width="26.140625" style="2" customWidth="1"/>
    <col min="5881" max="6133" width="11.42578125" style="2"/>
    <col min="6134" max="6134" width="20" style="2" customWidth="1"/>
    <col min="6135" max="6135" width="17.85546875" style="2" customWidth="1"/>
    <col min="6136" max="6136" width="26.140625" style="2" customWidth="1"/>
    <col min="6137" max="6389" width="11.42578125" style="2"/>
    <col min="6390" max="6390" width="20" style="2" customWidth="1"/>
    <col min="6391" max="6391" width="17.85546875" style="2" customWidth="1"/>
    <col min="6392" max="6392" width="26.140625" style="2" customWidth="1"/>
    <col min="6393" max="6645" width="11.42578125" style="2"/>
    <col min="6646" max="6646" width="20" style="2" customWidth="1"/>
    <col min="6647" max="6647" width="17.85546875" style="2" customWidth="1"/>
    <col min="6648" max="6648" width="26.140625" style="2" customWidth="1"/>
    <col min="6649" max="6901" width="11.42578125" style="2"/>
    <col min="6902" max="6902" width="20" style="2" customWidth="1"/>
    <col min="6903" max="6903" width="17.85546875" style="2" customWidth="1"/>
    <col min="6904" max="6904" width="26.140625" style="2" customWidth="1"/>
    <col min="6905" max="7157" width="11.42578125" style="2"/>
    <col min="7158" max="7158" width="20" style="2" customWidth="1"/>
    <col min="7159" max="7159" width="17.85546875" style="2" customWidth="1"/>
    <col min="7160" max="7160" width="26.140625" style="2" customWidth="1"/>
    <col min="7161" max="7413" width="11.42578125" style="2"/>
    <col min="7414" max="7414" width="20" style="2" customWidth="1"/>
    <col min="7415" max="7415" width="17.85546875" style="2" customWidth="1"/>
    <col min="7416" max="7416" width="26.140625" style="2" customWidth="1"/>
    <col min="7417" max="7669" width="11.42578125" style="2"/>
    <col min="7670" max="7670" width="20" style="2" customWidth="1"/>
    <col min="7671" max="7671" width="17.85546875" style="2" customWidth="1"/>
    <col min="7672" max="7672" width="26.140625" style="2" customWidth="1"/>
    <col min="7673" max="7925" width="11.42578125" style="2"/>
    <col min="7926" max="7926" width="20" style="2" customWidth="1"/>
    <col min="7927" max="7927" width="17.85546875" style="2" customWidth="1"/>
    <col min="7928" max="7928" width="26.140625" style="2" customWidth="1"/>
    <col min="7929" max="8181" width="11.42578125" style="2"/>
    <col min="8182" max="8182" width="20" style="2" customWidth="1"/>
    <col min="8183" max="8183" width="17.85546875" style="2" customWidth="1"/>
    <col min="8184" max="8184" width="26.140625" style="2" customWidth="1"/>
    <col min="8185" max="8437" width="11.42578125" style="2"/>
    <col min="8438" max="8438" width="20" style="2" customWidth="1"/>
    <col min="8439" max="8439" width="17.85546875" style="2" customWidth="1"/>
    <col min="8440" max="8440" width="26.140625" style="2" customWidth="1"/>
    <col min="8441" max="8693" width="11.42578125" style="2"/>
    <col min="8694" max="8694" width="20" style="2" customWidth="1"/>
    <col min="8695" max="8695" width="17.85546875" style="2" customWidth="1"/>
    <col min="8696" max="8696" width="26.140625" style="2" customWidth="1"/>
    <col min="8697" max="8949" width="11.42578125" style="2"/>
    <col min="8950" max="8950" width="20" style="2" customWidth="1"/>
    <col min="8951" max="8951" width="17.85546875" style="2" customWidth="1"/>
    <col min="8952" max="8952" width="26.140625" style="2" customWidth="1"/>
    <col min="8953" max="9205" width="11.42578125" style="2"/>
    <col min="9206" max="9206" width="20" style="2" customWidth="1"/>
    <col min="9207" max="9207" width="17.85546875" style="2" customWidth="1"/>
    <col min="9208" max="9208" width="26.140625" style="2" customWidth="1"/>
    <col min="9209" max="9461" width="11.42578125" style="2"/>
    <col min="9462" max="9462" width="20" style="2" customWidth="1"/>
    <col min="9463" max="9463" width="17.85546875" style="2" customWidth="1"/>
    <col min="9464" max="9464" width="26.140625" style="2" customWidth="1"/>
    <col min="9465" max="9717" width="11.42578125" style="2"/>
    <col min="9718" max="9718" width="20" style="2" customWidth="1"/>
    <col min="9719" max="9719" width="17.85546875" style="2" customWidth="1"/>
    <col min="9720" max="9720" width="26.140625" style="2" customWidth="1"/>
    <col min="9721" max="9973" width="11.42578125" style="2"/>
    <col min="9974" max="9974" width="20" style="2" customWidth="1"/>
    <col min="9975" max="9975" width="17.85546875" style="2" customWidth="1"/>
    <col min="9976" max="9976" width="26.140625" style="2" customWidth="1"/>
    <col min="9977" max="10229" width="11.42578125" style="2"/>
    <col min="10230" max="10230" width="20" style="2" customWidth="1"/>
    <col min="10231" max="10231" width="17.85546875" style="2" customWidth="1"/>
    <col min="10232" max="10232" width="26.140625" style="2" customWidth="1"/>
    <col min="10233" max="10485" width="11.42578125" style="2"/>
    <col min="10486" max="10486" width="20" style="2" customWidth="1"/>
    <col min="10487" max="10487" width="17.85546875" style="2" customWidth="1"/>
    <col min="10488" max="10488" width="26.140625" style="2" customWidth="1"/>
    <col min="10489" max="10741" width="11.42578125" style="2"/>
    <col min="10742" max="10742" width="20" style="2" customWidth="1"/>
    <col min="10743" max="10743" width="17.85546875" style="2" customWidth="1"/>
    <col min="10744" max="10744" width="26.140625" style="2" customWidth="1"/>
    <col min="10745" max="10997" width="11.42578125" style="2"/>
    <col min="10998" max="10998" width="20" style="2" customWidth="1"/>
    <col min="10999" max="10999" width="17.85546875" style="2" customWidth="1"/>
    <col min="11000" max="11000" width="26.140625" style="2" customWidth="1"/>
    <col min="11001" max="11253" width="11.42578125" style="2"/>
    <col min="11254" max="11254" width="20" style="2" customWidth="1"/>
    <col min="11255" max="11255" width="17.85546875" style="2" customWidth="1"/>
    <col min="11256" max="11256" width="26.140625" style="2" customWidth="1"/>
    <col min="11257" max="11509" width="11.42578125" style="2"/>
    <col min="11510" max="11510" width="20" style="2" customWidth="1"/>
    <col min="11511" max="11511" width="17.85546875" style="2" customWidth="1"/>
    <col min="11512" max="11512" width="26.140625" style="2" customWidth="1"/>
    <col min="11513" max="11765" width="11.42578125" style="2"/>
    <col min="11766" max="11766" width="20" style="2" customWidth="1"/>
    <col min="11767" max="11767" width="17.85546875" style="2" customWidth="1"/>
    <col min="11768" max="11768" width="26.140625" style="2" customWidth="1"/>
    <col min="11769" max="12021" width="11.42578125" style="2"/>
    <col min="12022" max="12022" width="20" style="2" customWidth="1"/>
    <col min="12023" max="12023" width="17.85546875" style="2" customWidth="1"/>
    <col min="12024" max="12024" width="26.140625" style="2" customWidth="1"/>
    <col min="12025" max="12277" width="11.42578125" style="2"/>
    <col min="12278" max="12278" width="20" style="2" customWidth="1"/>
    <col min="12279" max="12279" width="17.85546875" style="2" customWidth="1"/>
    <col min="12280" max="12280" width="26.140625" style="2" customWidth="1"/>
    <col min="12281" max="12533" width="11.42578125" style="2"/>
    <col min="12534" max="12534" width="20" style="2" customWidth="1"/>
    <col min="12535" max="12535" width="17.85546875" style="2" customWidth="1"/>
    <col min="12536" max="12536" width="26.140625" style="2" customWidth="1"/>
    <col min="12537" max="12789" width="11.42578125" style="2"/>
    <col min="12790" max="12790" width="20" style="2" customWidth="1"/>
    <col min="12791" max="12791" width="17.85546875" style="2" customWidth="1"/>
    <col min="12792" max="12792" width="26.140625" style="2" customWidth="1"/>
    <col min="12793" max="13045" width="11.42578125" style="2"/>
    <col min="13046" max="13046" width="20" style="2" customWidth="1"/>
    <col min="13047" max="13047" width="17.85546875" style="2" customWidth="1"/>
    <col min="13048" max="13048" width="26.140625" style="2" customWidth="1"/>
    <col min="13049" max="13301" width="11.42578125" style="2"/>
    <col min="13302" max="13302" width="20" style="2" customWidth="1"/>
    <col min="13303" max="13303" width="17.85546875" style="2" customWidth="1"/>
    <col min="13304" max="13304" width="26.140625" style="2" customWidth="1"/>
    <col min="13305" max="13557" width="11.42578125" style="2"/>
    <col min="13558" max="13558" width="20" style="2" customWidth="1"/>
    <col min="13559" max="13559" width="17.85546875" style="2" customWidth="1"/>
    <col min="13560" max="13560" width="26.140625" style="2" customWidth="1"/>
    <col min="13561" max="13813" width="11.42578125" style="2"/>
    <col min="13814" max="13814" width="20" style="2" customWidth="1"/>
    <col min="13815" max="13815" width="17.85546875" style="2" customWidth="1"/>
    <col min="13816" max="13816" width="26.140625" style="2" customWidth="1"/>
    <col min="13817" max="14069" width="11.42578125" style="2"/>
    <col min="14070" max="14070" width="20" style="2" customWidth="1"/>
    <col min="14071" max="14071" width="17.85546875" style="2" customWidth="1"/>
    <col min="14072" max="14072" width="26.140625" style="2" customWidth="1"/>
    <col min="14073" max="14325" width="11.42578125" style="2"/>
    <col min="14326" max="14326" width="20" style="2" customWidth="1"/>
    <col min="14327" max="14327" width="17.85546875" style="2" customWidth="1"/>
    <col min="14328" max="14328" width="26.140625" style="2" customWidth="1"/>
    <col min="14329" max="14581" width="11.42578125" style="2"/>
    <col min="14582" max="14582" width="20" style="2" customWidth="1"/>
    <col min="14583" max="14583" width="17.85546875" style="2" customWidth="1"/>
    <col min="14584" max="14584" width="26.140625" style="2" customWidth="1"/>
    <col min="14585" max="14837" width="11.42578125" style="2"/>
    <col min="14838" max="14838" width="20" style="2" customWidth="1"/>
    <col min="14839" max="14839" width="17.85546875" style="2" customWidth="1"/>
    <col min="14840" max="14840" width="26.140625" style="2" customWidth="1"/>
    <col min="14841" max="15093" width="11.42578125" style="2"/>
    <col min="15094" max="15094" width="20" style="2" customWidth="1"/>
    <col min="15095" max="15095" width="17.85546875" style="2" customWidth="1"/>
    <col min="15096" max="15096" width="26.140625" style="2" customWidth="1"/>
    <col min="15097" max="15349" width="11.42578125" style="2"/>
    <col min="15350" max="15350" width="20" style="2" customWidth="1"/>
    <col min="15351" max="15351" width="17.85546875" style="2" customWidth="1"/>
    <col min="15352" max="15352" width="26.140625" style="2" customWidth="1"/>
    <col min="15353" max="15605" width="11.42578125" style="2"/>
    <col min="15606" max="15606" width="20" style="2" customWidth="1"/>
    <col min="15607" max="15607" width="17.85546875" style="2" customWidth="1"/>
    <col min="15608" max="15608" width="26.140625" style="2" customWidth="1"/>
    <col min="15609" max="15861" width="11.42578125" style="2"/>
    <col min="15862" max="15862" width="20" style="2" customWidth="1"/>
    <col min="15863" max="15863" width="17.85546875" style="2" customWidth="1"/>
    <col min="15864" max="15864" width="26.140625" style="2" customWidth="1"/>
    <col min="15865" max="16117" width="11.42578125" style="2"/>
    <col min="16118" max="16118" width="20" style="2" customWidth="1"/>
    <col min="16119" max="16119" width="17.85546875" style="2" customWidth="1"/>
    <col min="16120" max="16120" width="26.140625" style="2" customWidth="1"/>
    <col min="16121" max="16384" width="11.42578125" style="2"/>
  </cols>
  <sheetData>
    <row r="1" spans="1:4" x14ac:dyDescent="0.2">
      <c r="A1" s="1" t="s">
        <v>37</v>
      </c>
      <c r="B1" s="1" t="s">
        <v>38</v>
      </c>
      <c r="C1" s="1" t="s">
        <v>39</v>
      </c>
      <c r="D1" s="1" t="s">
        <v>40</v>
      </c>
    </row>
    <row r="2" spans="1:4" ht="18" customHeight="1" x14ac:dyDescent="0.2">
      <c r="A2" s="79" t="s">
        <v>42</v>
      </c>
      <c r="B2" s="79" t="s">
        <v>43</v>
      </c>
      <c r="C2" s="79" t="s">
        <v>45</v>
      </c>
      <c r="D2" s="3"/>
    </row>
    <row r="3" spans="1:4" ht="18" customHeight="1" x14ac:dyDescent="0.2">
      <c r="A3" s="79" t="s">
        <v>42</v>
      </c>
      <c r="B3" s="79" t="s">
        <v>43</v>
      </c>
      <c r="C3" s="79" t="s">
        <v>46</v>
      </c>
      <c r="D3" s="3"/>
    </row>
    <row r="4" spans="1:4" ht="18" customHeight="1" x14ac:dyDescent="0.2">
      <c r="A4" s="79" t="s">
        <v>42</v>
      </c>
      <c r="B4" s="79" t="s">
        <v>43</v>
      </c>
      <c r="C4" s="79" t="s">
        <v>47</v>
      </c>
      <c r="D4" s="3"/>
    </row>
    <row r="5" spans="1:4" ht="18" customHeight="1" x14ac:dyDescent="0.2">
      <c r="A5" s="79" t="s">
        <v>42</v>
      </c>
      <c r="B5" s="79" t="s">
        <v>43</v>
      </c>
      <c r="C5" s="79" t="s">
        <v>48</v>
      </c>
      <c r="D5" s="3"/>
    </row>
    <row r="6" spans="1:4" ht="18" customHeight="1" x14ac:dyDescent="0.2">
      <c r="A6" s="79" t="s">
        <v>42</v>
      </c>
      <c r="B6" s="79" t="s">
        <v>43</v>
      </c>
      <c r="C6" s="79" t="s">
        <v>49</v>
      </c>
      <c r="D6" s="3"/>
    </row>
    <row r="7" spans="1:4" ht="18" customHeight="1" x14ac:dyDescent="0.2">
      <c r="A7" s="79" t="s">
        <v>42</v>
      </c>
      <c r="B7" s="79" t="s">
        <v>43</v>
      </c>
      <c r="C7" s="79" t="s">
        <v>50</v>
      </c>
      <c r="D7" s="3"/>
    </row>
    <row r="8" spans="1:4" ht="18" customHeight="1" x14ac:dyDescent="0.2">
      <c r="A8" s="79" t="s">
        <v>42</v>
      </c>
      <c r="B8" s="79" t="s">
        <v>43</v>
      </c>
      <c r="C8" s="79" t="s">
        <v>51</v>
      </c>
      <c r="D8" s="3"/>
    </row>
    <row r="9" spans="1:4" ht="18" customHeight="1" x14ac:dyDescent="0.2">
      <c r="A9" s="79" t="s">
        <v>42</v>
      </c>
      <c r="B9" s="79" t="s">
        <v>43</v>
      </c>
      <c r="C9" s="79" t="s">
        <v>52</v>
      </c>
      <c r="D9" s="3"/>
    </row>
    <row r="10" spans="1:4" ht="18" customHeight="1" x14ac:dyDescent="0.2">
      <c r="A10" s="79" t="s">
        <v>42</v>
      </c>
      <c r="B10" s="79" t="s">
        <v>43</v>
      </c>
      <c r="C10" s="79" t="s">
        <v>53</v>
      </c>
      <c r="D10" s="3"/>
    </row>
    <row r="11" spans="1:4" ht="18" customHeight="1" x14ac:dyDescent="0.2">
      <c r="A11" s="79" t="s">
        <v>42</v>
      </c>
      <c r="B11" s="79" t="s">
        <v>43</v>
      </c>
      <c r="C11" s="79" t="s">
        <v>54</v>
      </c>
      <c r="D11" s="3"/>
    </row>
    <row r="12" spans="1:4" ht="18" customHeight="1" x14ac:dyDescent="0.2">
      <c r="A12" s="79" t="s">
        <v>42</v>
      </c>
      <c r="B12" s="79" t="s">
        <v>43</v>
      </c>
      <c r="C12" s="79" t="s">
        <v>55</v>
      </c>
      <c r="D12" s="3"/>
    </row>
    <row r="13" spans="1:4" ht="18" customHeight="1" x14ac:dyDescent="0.2">
      <c r="A13" s="79" t="s">
        <v>42</v>
      </c>
      <c r="B13" s="79" t="s">
        <v>43</v>
      </c>
      <c r="C13" s="79" t="s">
        <v>56</v>
      </c>
      <c r="D13" s="3"/>
    </row>
    <row r="14" spans="1:4" ht="18" customHeight="1" x14ac:dyDescent="0.2">
      <c r="A14" s="79" t="s">
        <v>42</v>
      </c>
      <c r="B14" s="79" t="s">
        <v>43</v>
      </c>
      <c r="C14" s="79" t="s">
        <v>57</v>
      </c>
      <c r="D14" s="3"/>
    </row>
    <row r="15" spans="1:4" ht="18" customHeight="1" x14ac:dyDescent="0.2">
      <c r="A15" s="79" t="s">
        <v>42</v>
      </c>
      <c r="B15" s="79" t="s">
        <v>43</v>
      </c>
      <c r="C15" s="79" t="s">
        <v>58</v>
      </c>
      <c r="D15" s="3"/>
    </row>
    <row r="16" spans="1:4" ht="18" customHeight="1" x14ac:dyDescent="0.2">
      <c r="A16" s="79" t="s">
        <v>42</v>
      </c>
      <c r="B16" s="79" t="s">
        <v>43</v>
      </c>
      <c r="C16" s="79" t="s">
        <v>59</v>
      </c>
      <c r="D16" s="3"/>
    </row>
    <row r="17" spans="1:4" ht="18" customHeight="1" x14ac:dyDescent="0.2">
      <c r="A17" s="79" t="s">
        <v>42</v>
      </c>
      <c r="B17" s="79" t="s">
        <v>43</v>
      </c>
      <c r="C17" s="79" t="s">
        <v>60</v>
      </c>
      <c r="D17" s="3"/>
    </row>
    <row r="18" spans="1:4" ht="18" customHeight="1" x14ac:dyDescent="0.2">
      <c r="A18" s="79" t="s">
        <v>42</v>
      </c>
      <c r="B18" s="79" t="s">
        <v>43</v>
      </c>
      <c r="C18" s="79" t="s">
        <v>61</v>
      </c>
      <c r="D18" s="3"/>
    </row>
    <row r="19" spans="1:4" ht="18" customHeight="1" x14ac:dyDescent="0.2">
      <c r="A19" s="79" t="s">
        <v>42</v>
      </c>
      <c r="B19" s="79" t="s">
        <v>43</v>
      </c>
      <c r="C19" s="79" t="s">
        <v>62</v>
      </c>
      <c r="D19" s="3"/>
    </row>
    <row r="20" spans="1:4" ht="18" customHeight="1" x14ac:dyDescent="0.2">
      <c r="A20" s="79" t="s">
        <v>42</v>
      </c>
      <c r="B20" s="79" t="s">
        <v>43</v>
      </c>
      <c r="C20" s="79" t="s">
        <v>63</v>
      </c>
      <c r="D20" s="3"/>
    </row>
    <row r="21" spans="1:4" ht="18" customHeight="1" x14ac:dyDescent="0.2">
      <c r="A21" s="79" t="s">
        <v>42</v>
      </c>
      <c r="B21" s="79" t="s">
        <v>43</v>
      </c>
      <c r="C21" s="79" t="s">
        <v>64</v>
      </c>
      <c r="D21" s="3"/>
    </row>
    <row r="22" spans="1:4" ht="18" customHeight="1" x14ac:dyDescent="0.2">
      <c r="A22" s="79" t="s">
        <v>42</v>
      </c>
      <c r="B22" s="79" t="s">
        <v>43</v>
      </c>
      <c r="C22" s="79" t="s">
        <v>65</v>
      </c>
      <c r="D22" s="3"/>
    </row>
    <row r="23" spans="1:4" ht="18" customHeight="1" x14ac:dyDescent="0.2">
      <c r="A23" s="79" t="s">
        <v>42</v>
      </c>
      <c r="B23" s="79" t="s">
        <v>43</v>
      </c>
      <c r="C23" s="79" t="s">
        <v>66</v>
      </c>
      <c r="D23" s="3"/>
    </row>
    <row r="24" spans="1:4" ht="18" customHeight="1" x14ac:dyDescent="0.2">
      <c r="A24" s="79" t="s">
        <v>42</v>
      </c>
      <c r="B24" s="79" t="s">
        <v>43</v>
      </c>
      <c r="C24" s="79" t="s">
        <v>67</v>
      </c>
      <c r="D24" s="3"/>
    </row>
    <row r="25" spans="1:4" ht="18" customHeight="1" x14ac:dyDescent="0.2">
      <c r="A25" s="79" t="s">
        <v>42</v>
      </c>
      <c r="B25" s="79" t="s">
        <v>43</v>
      </c>
      <c r="C25" s="79" t="s">
        <v>68</v>
      </c>
      <c r="D25" s="3"/>
    </row>
    <row r="26" spans="1:4" ht="18" customHeight="1" x14ac:dyDescent="0.2">
      <c r="A26" s="79" t="s">
        <v>42</v>
      </c>
      <c r="B26" s="79" t="s">
        <v>43</v>
      </c>
      <c r="C26" s="79" t="s">
        <v>69</v>
      </c>
      <c r="D26" s="3"/>
    </row>
    <row r="27" spans="1:4" ht="18" customHeight="1" x14ac:dyDescent="0.2">
      <c r="A27" s="79" t="s">
        <v>42</v>
      </c>
      <c r="B27" s="79" t="s">
        <v>43</v>
      </c>
      <c r="C27" s="79" t="s">
        <v>70</v>
      </c>
      <c r="D27" s="3"/>
    </row>
    <row r="28" spans="1:4" ht="18" customHeight="1" x14ac:dyDescent="0.2">
      <c r="A28" s="79" t="s">
        <v>42</v>
      </c>
      <c r="B28" s="79" t="s">
        <v>43</v>
      </c>
      <c r="C28" s="79" t="s">
        <v>71</v>
      </c>
      <c r="D28" s="3"/>
    </row>
    <row r="29" spans="1:4" ht="18" customHeight="1" x14ac:dyDescent="0.2">
      <c r="A29" s="79" t="s">
        <v>42</v>
      </c>
      <c r="B29" s="79" t="s">
        <v>43</v>
      </c>
      <c r="C29" s="79" t="s">
        <v>72</v>
      </c>
      <c r="D29" s="3"/>
    </row>
    <row r="30" spans="1:4" ht="18" customHeight="1" x14ac:dyDescent="0.2">
      <c r="A30" s="79" t="s">
        <v>42</v>
      </c>
      <c r="B30" s="79" t="s">
        <v>43</v>
      </c>
      <c r="C30" s="79" t="s">
        <v>73</v>
      </c>
      <c r="D30" s="3"/>
    </row>
    <row r="31" spans="1:4" ht="18" customHeight="1" x14ac:dyDescent="0.2">
      <c r="A31" s="79" t="s">
        <v>42</v>
      </c>
      <c r="B31" s="79" t="s">
        <v>43</v>
      </c>
      <c r="C31" s="79" t="s">
        <v>74</v>
      </c>
      <c r="D31" s="3"/>
    </row>
    <row r="32" spans="1:4" ht="18" customHeight="1" x14ac:dyDescent="0.2">
      <c r="A32" s="79" t="s">
        <v>42</v>
      </c>
      <c r="B32" s="79" t="s">
        <v>43</v>
      </c>
      <c r="C32" s="79" t="s">
        <v>75</v>
      </c>
      <c r="D32" s="3"/>
    </row>
    <row r="33" spans="1:4" ht="18" customHeight="1" x14ac:dyDescent="0.2">
      <c r="A33" s="79" t="s">
        <v>42</v>
      </c>
      <c r="B33" s="79" t="s">
        <v>43</v>
      </c>
      <c r="C33" s="79" t="s">
        <v>76</v>
      </c>
      <c r="D33" s="3"/>
    </row>
    <row r="34" spans="1:4" ht="18" customHeight="1" x14ac:dyDescent="0.2">
      <c r="A34" s="79" t="s">
        <v>42</v>
      </c>
      <c r="B34" s="79" t="s">
        <v>43</v>
      </c>
      <c r="C34" s="79" t="s">
        <v>77</v>
      </c>
      <c r="D34" s="3"/>
    </row>
    <row r="35" spans="1:4" ht="18" customHeight="1" x14ac:dyDescent="0.2">
      <c r="A35" s="79" t="s">
        <v>42</v>
      </c>
      <c r="B35" s="79" t="s">
        <v>43</v>
      </c>
      <c r="C35" s="79" t="s">
        <v>78</v>
      </c>
      <c r="D35" s="3"/>
    </row>
    <row r="36" spans="1:4" ht="18" customHeight="1" x14ac:dyDescent="0.2">
      <c r="A36" s="79" t="s">
        <v>42</v>
      </c>
      <c r="B36" s="79" t="s">
        <v>43</v>
      </c>
      <c r="C36" s="79" t="s">
        <v>79</v>
      </c>
      <c r="D36" s="3"/>
    </row>
    <row r="37" spans="1:4" ht="18" customHeight="1" x14ac:dyDescent="0.2">
      <c r="A37" s="79" t="s">
        <v>42</v>
      </c>
      <c r="B37" s="79" t="s">
        <v>43</v>
      </c>
      <c r="C37" s="79" t="s">
        <v>80</v>
      </c>
      <c r="D37" s="3"/>
    </row>
    <row r="38" spans="1:4" ht="18" customHeight="1" x14ac:dyDescent="0.2">
      <c r="A38" s="79" t="s">
        <v>42</v>
      </c>
      <c r="B38" s="79" t="s">
        <v>43</v>
      </c>
      <c r="C38" s="79" t="s">
        <v>81</v>
      </c>
      <c r="D38" s="3"/>
    </row>
    <row r="39" spans="1:4" ht="18" customHeight="1" x14ac:dyDescent="0.2">
      <c r="A39" s="79" t="s">
        <v>42</v>
      </c>
      <c r="B39" s="79" t="s">
        <v>43</v>
      </c>
      <c r="C39" s="79" t="s">
        <v>82</v>
      </c>
      <c r="D39" s="3"/>
    </row>
    <row r="40" spans="1:4" ht="18" customHeight="1" x14ac:dyDescent="0.2">
      <c r="A40" s="63"/>
      <c r="B40" s="63"/>
      <c r="C40" s="63"/>
      <c r="D40" s="3"/>
    </row>
    <row r="41" spans="1:4" ht="18" customHeight="1" x14ac:dyDescent="0.2">
      <c r="A41" s="63"/>
      <c r="B41" s="63"/>
      <c r="C41" s="63"/>
      <c r="D41" s="3"/>
    </row>
    <row r="42" spans="1:4" ht="18" customHeight="1" x14ac:dyDescent="0.2">
      <c r="A42" s="63"/>
      <c r="B42" s="63"/>
      <c r="C42" s="63"/>
      <c r="D42" s="3"/>
    </row>
    <row r="43" spans="1:4" ht="18" customHeight="1" x14ac:dyDescent="0.2">
      <c r="A43" s="63"/>
      <c r="B43" s="63"/>
      <c r="C43" s="63"/>
    </row>
    <row r="44" spans="1:4" ht="18" customHeight="1" x14ac:dyDescent="0.2">
      <c r="A44" s="63"/>
      <c r="B44" s="63"/>
      <c r="C44" s="63"/>
    </row>
    <row r="45" spans="1:4" ht="18" customHeight="1" x14ac:dyDescent="0.2">
      <c r="A45" s="63"/>
      <c r="B45" s="63"/>
      <c r="C45" s="63"/>
    </row>
    <row r="46" spans="1:4" ht="18" customHeight="1" x14ac:dyDescent="0.2">
      <c r="A46" s="63"/>
      <c r="B46" s="63"/>
      <c r="C46" s="63"/>
    </row>
    <row r="47" spans="1:4" ht="18" customHeight="1" x14ac:dyDescent="0.2">
      <c r="A47" s="63"/>
      <c r="B47" s="63"/>
      <c r="C47" s="63"/>
    </row>
    <row r="48" spans="1:4" ht="18" customHeight="1" x14ac:dyDescent="0.2">
      <c r="A48" s="63"/>
      <c r="B48" s="63"/>
      <c r="C48" s="63"/>
    </row>
    <row r="49" spans="1:6" ht="17.25" customHeight="1" x14ac:dyDescent="0.2">
      <c r="A49" s="63"/>
      <c r="B49" s="63"/>
      <c r="C49" s="63"/>
    </row>
    <row r="50" spans="1:6" ht="17.25" customHeight="1" x14ac:dyDescent="0.2">
      <c r="A50" s="63"/>
      <c r="B50" s="63"/>
      <c r="C50" s="63"/>
    </row>
    <row r="51" spans="1:6" ht="17.25" customHeight="1" x14ac:dyDescent="0.2">
      <c r="A51" s="63"/>
      <c r="B51" s="63"/>
      <c r="C51" s="63"/>
      <c r="F51" s="4"/>
    </row>
    <row r="52" spans="1:6" ht="17.25" customHeight="1" x14ac:dyDescent="0.2">
      <c r="A52" s="62"/>
      <c r="B52" s="62"/>
      <c r="C52" s="62"/>
    </row>
    <row r="53" spans="1:6" ht="17.25" customHeight="1" x14ac:dyDescent="0.2">
      <c r="A53" s="62"/>
      <c r="B53" s="62"/>
      <c r="C53" s="62"/>
    </row>
    <row r="54" spans="1:6" ht="15.75" customHeight="1" x14ac:dyDescent="0.2">
      <c r="A54" s="62"/>
      <c r="B54" s="62"/>
      <c r="C54" s="62"/>
    </row>
    <row r="55" spans="1:6" ht="15.75" customHeight="1" x14ac:dyDescent="0.2">
      <c r="A55" s="62"/>
      <c r="B55" s="62"/>
      <c r="C55" s="62"/>
    </row>
    <row r="56" spans="1:6" ht="15.75" customHeight="1" x14ac:dyDescent="0.2">
      <c r="A56" s="62"/>
      <c r="B56" s="62"/>
      <c r="C56" s="62"/>
      <c r="D56" s="3"/>
    </row>
    <row r="57" spans="1:6" ht="15.75" customHeight="1" x14ac:dyDescent="0.2">
      <c r="A57" s="62"/>
      <c r="B57" s="62"/>
      <c r="C57" s="62"/>
      <c r="D57" s="3"/>
    </row>
    <row r="58" spans="1:6" ht="15.75" customHeight="1" x14ac:dyDescent="0.2">
      <c r="A58" s="62"/>
      <c r="B58" s="62"/>
      <c r="C58" s="62"/>
    </row>
    <row r="59" spans="1:6" ht="15.75" customHeight="1" x14ac:dyDescent="0.2">
      <c r="A59" s="62"/>
      <c r="B59" s="62"/>
      <c r="C59" s="62"/>
    </row>
  </sheetData>
  <phoneticPr fontId="6" type="noConversion"/>
  <pageMargins left="0.74803149606299213" right="0.74803149606299213" top="0.35433070866141736" bottom="0.39370078740157483" header="0.33" footer="0.51181102362204722"/>
  <pageSetup scale="70" orientation="portrait" horizontalDpi="4294967293" verticalDpi="72" r:id="rId1"/>
  <headerFooter>
    <oddFooter>Page &amp;P of 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2410"/>
  <sheetViews>
    <sheetView tabSelected="1" topLeftCell="A6" zoomScaleNormal="100" workbookViewId="0">
      <selection activeCell="G23" sqref="G23"/>
    </sheetView>
  </sheetViews>
  <sheetFormatPr baseColWidth="10" defaultRowHeight="12" x14ac:dyDescent="0.2"/>
  <cols>
    <col min="1" max="1" width="4.7109375" style="5" customWidth="1"/>
    <col min="2" max="2" width="13.7109375" style="5" customWidth="1"/>
    <col min="3" max="3" width="10" style="5" customWidth="1"/>
    <col min="4" max="4" width="10.28515625" style="5" customWidth="1"/>
    <col min="5" max="5" width="11.5703125" style="6" customWidth="1"/>
    <col min="6" max="6" width="10.5703125" style="7" customWidth="1"/>
    <col min="7" max="7" width="10.28515625" style="5" customWidth="1"/>
    <col min="8" max="10" width="9.85546875" style="5" customWidth="1"/>
    <col min="11" max="11" width="10" style="5" customWidth="1"/>
    <col min="12" max="12" width="8.7109375" style="5" customWidth="1"/>
    <col min="13" max="13" width="10.5703125" style="5" customWidth="1"/>
    <col min="14" max="14" width="10.7109375" style="5" customWidth="1"/>
    <col min="15" max="15" width="10.5703125" style="38" customWidth="1"/>
    <col min="16" max="16" width="10.5703125" style="5" customWidth="1"/>
    <col min="17" max="17" width="9.85546875" style="5" customWidth="1"/>
    <col min="18" max="18" width="10.85546875" style="5" customWidth="1"/>
    <col min="19" max="19" width="12.7109375" style="5" customWidth="1"/>
    <col min="20" max="20" width="11.28515625" style="5" customWidth="1"/>
    <col min="21" max="21" width="10.140625" style="5" customWidth="1"/>
    <col min="22" max="16384" width="11.42578125" style="5"/>
  </cols>
  <sheetData>
    <row r="1" spans="1:21" x14ac:dyDescent="0.2">
      <c r="A1" s="5" t="s">
        <v>41</v>
      </c>
      <c r="O1" s="5"/>
      <c r="R1" s="65"/>
      <c r="S1" s="65"/>
      <c r="T1" s="65"/>
      <c r="U1" s="65"/>
    </row>
    <row r="2" spans="1:21" x14ac:dyDescent="0.2">
      <c r="A2" s="5" t="s">
        <v>44</v>
      </c>
      <c r="O2" s="5"/>
      <c r="R2" s="65"/>
      <c r="S2" s="72" t="s">
        <v>3</v>
      </c>
      <c r="T2" s="66" t="s">
        <v>4</v>
      </c>
      <c r="U2" s="66" t="s">
        <v>5</v>
      </c>
    </row>
    <row r="3" spans="1:21" x14ac:dyDescent="0.2">
      <c r="A3" s="5" t="s">
        <v>0</v>
      </c>
      <c r="O3" s="5"/>
      <c r="R3" s="65"/>
      <c r="S3" s="72"/>
      <c r="T3" s="67">
        <v>0.16666666666666666</v>
      </c>
      <c r="U3" s="68">
        <v>0.60416666666666663</v>
      </c>
    </row>
    <row r="4" spans="1:21" x14ac:dyDescent="0.2">
      <c r="A4" s="9"/>
      <c r="O4" s="5"/>
      <c r="R4" s="65"/>
      <c r="S4" s="65"/>
      <c r="T4" s="65"/>
      <c r="U4" s="65"/>
    </row>
    <row r="5" spans="1:21" ht="15.75" customHeight="1" x14ac:dyDescent="0.2">
      <c r="A5" s="9"/>
      <c r="O5" s="5"/>
    </row>
    <row r="6" spans="1:21" ht="12.75" customHeight="1" x14ac:dyDescent="0.2">
      <c r="A6" s="73" t="s">
        <v>6</v>
      </c>
      <c r="B6" s="73" t="s">
        <v>7</v>
      </c>
      <c r="C6" s="73" t="s">
        <v>1</v>
      </c>
      <c r="D6" s="73" t="s">
        <v>2</v>
      </c>
      <c r="E6" s="74" t="s">
        <v>8</v>
      </c>
      <c r="F6" s="74" t="s">
        <v>9</v>
      </c>
      <c r="G6" s="75" t="s">
        <v>10</v>
      </c>
      <c r="H6" s="75"/>
      <c r="I6" s="75"/>
      <c r="J6" s="75"/>
      <c r="K6" s="75"/>
      <c r="L6" s="75"/>
      <c r="M6" s="76" t="s">
        <v>11</v>
      </c>
      <c r="N6" s="76"/>
      <c r="O6" s="76"/>
      <c r="P6" s="76"/>
      <c r="Q6" s="76"/>
      <c r="R6" s="76"/>
      <c r="S6" s="76"/>
      <c r="T6" s="76"/>
      <c r="U6" s="76"/>
    </row>
    <row r="7" spans="1:21" ht="52.5" customHeight="1" x14ac:dyDescent="0.2">
      <c r="A7" s="73"/>
      <c r="B7" s="73"/>
      <c r="C7" s="73"/>
      <c r="D7" s="73"/>
      <c r="E7" s="74"/>
      <c r="F7" s="74"/>
      <c r="G7" s="11" t="s">
        <v>1</v>
      </c>
      <c r="H7" s="11" t="s">
        <v>2</v>
      </c>
      <c r="I7" s="11" t="s">
        <v>12</v>
      </c>
      <c r="J7" s="11" t="s">
        <v>13</v>
      </c>
      <c r="K7" s="11" t="s">
        <v>14</v>
      </c>
      <c r="L7" s="12" t="s">
        <v>12</v>
      </c>
      <c r="M7" s="10" t="s">
        <v>15</v>
      </c>
      <c r="N7" s="10" t="s">
        <v>16</v>
      </c>
      <c r="O7" s="10" t="s">
        <v>17</v>
      </c>
      <c r="P7" s="10" t="s">
        <v>18</v>
      </c>
      <c r="Q7" s="10" t="s">
        <v>19</v>
      </c>
      <c r="R7" s="10" t="s">
        <v>20</v>
      </c>
      <c r="S7" s="10" t="s">
        <v>21</v>
      </c>
      <c r="T7" s="10" t="s">
        <v>19</v>
      </c>
      <c r="U7" s="10" t="s">
        <v>22</v>
      </c>
    </row>
    <row r="8" spans="1:21" ht="14.25" customHeight="1" x14ac:dyDescent="0.2">
      <c r="A8" s="13">
        <v>1</v>
      </c>
      <c r="B8" s="14">
        <v>46174</v>
      </c>
      <c r="C8" s="61">
        <v>0.125</v>
      </c>
      <c r="D8" s="61">
        <v>0.46875</v>
      </c>
      <c r="E8" s="15"/>
      <c r="F8" s="16"/>
      <c r="G8" s="17">
        <f t="shared" ref="G8:G12" si="0">IF(C8-E8&gt;0,+C8-E8,0)</f>
        <v>0.125</v>
      </c>
      <c r="H8" s="17">
        <f t="shared" ref="H8:H12" si="1">IF(F8-D8&gt;0,+F8-D8,0)</f>
        <v>0</v>
      </c>
      <c r="I8" s="17">
        <f t="shared" ref="I8:I12" si="2">SUM(G8:H8)</f>
        <v>0.125</v>
      </c>
      <c r="J8" s="17">
        <f t="shared" ref="J8:J12" si="3">IF(C8-E8&lt;0,+(+C8-E8)*-1,0)</f>
        <v>0</v>
      </c>
      <c r="K8" s="17">
        <f t="shared" ref="K8:K12" si="4">IF(F8-D8&lt;0,+(+F8-D8)*-1,0)</f>
        <v>0.46875</v>
      </c>
      <c r="L8" s="18">
        <f t="shared" ref="L8:L12" si="5">+J8+K8</f>
        <v>0.46875</v>
      </c>
      <c r="M8" s="8">
        <v>0.25</v>
      </c>
      <c r="N8" s="8">
        <f t="shared" ref="N8:N12" si="6">IF(M8-E8&gt;0,M8-E8,0)</f>
        <v>0.25</v>
      </c>
      <c r="O8" s="19">
        <f t="shared" ref="O8:O12" si="7">+F8-E8</f>
        <v>0</v>
      </c>
      <c r="P8" s="20">
        <v>0.33333333333333331</v>
      </c>
      <c r="Q8" s="8">
        <v>1.0416666666666666E-2</v>
      </c>
      <c r="R8" s="20"/>
      <c r="S8" s="20"/>
      <c r="T8" s="20"/>
      <c r="U8" s="20"/>
    </row>
    <row r="9" spans="1:21" ht="14.25" customHeight="1" x14ac:dyDescent="0.2">
      <c r="A9" s="13">
        <v>1</v>
      </c>
      <c r="B9" s="14">
        <v>46175</v>
      </c>
      <c r="C9" s="61">
        <v>0.125</v>
      </c>
      <c r="D9" s="61">
        <v>0.46875</v>
      </c>
      <c r="E9" s="15"/>
      <c r="F9" s="16"/>
      <c r="G9" s="17">
        <f t="shared" si="0"/>
        <v>0.125</v>
      </c>
      <c r="H9" s="17">
        <f t="shared" si="1"/>
        <v>0</v>
      </c>
      <c r="I9" s="17">
        <f t="shared" si="2"/>
        <v>0.125</v>
      </c>
      <c r="J9" s="17">
        <f t="shared" si="3"/>
        <v>0</v>
      </c>
      <c r="K9" s="17">
        <f t="shared" si="4"/>
        <v>0.46875</v>
      </c>
      <c r="L9" s="18">
        <f t="shared" si="5"/>
        <v>0.46875</v>
      </c>
      <c r="M9" s="8">
        <v>0.25</v>
      </c>
      <c r="N9" s="8">
        <f t="shared" si="6"/>
        <v>0.25</v>
      </c>
      <c r="O9" s="19">
        <f t="shared" si="7"/>
        <v>0</v>
      </c>
      <c r="P9" s="20">
        <v>0.33333333333333331</v>
      </c>
      <c r="Q9" s="8">
        <v>1.0416666666666666E-2</v>
      </c>
      <c r="R9" s="20"/>
      <c r="S9" s="20"/>
      <c r="T9" s="20"/>
      <c r="U9" s="20"/>
    </row>
    <row r="10" spans="1:21" ht="14.25" customHeight="1" x14ac:dyDescent="0.2">
      <c r="A10" s="13">
        <v>1</v>
      </c>
      <c r="B10" s="14">
        <v>46176</v>
      </c>
      <c r="C10" s="61">
        <v>0.125</v>
      </c>
      <c r="D10" s="61">
        <v>0.46875</v>
      </c>
      <c r="E10" s="15"/>
      <c r="F10" s="16"/>
      <c r="G10" s="17">
        <f t="shared" si="0"/>
        <v>0.125</v>
      </c>
      <c r="H10" s="17">
        <f t="shared" si="1"/>
        <v>0</v>
      </c>
      <c r="I10" s="17">
        <f t="shared" si="2"/>
        <v>0.125</v>
      </c>
      <c r="J10" s="17">
        <f t="shared" si="3"/>
        <v>0</v>
      </c>
      <c r="K10" s="17">
        <f t="shared" si="4"/>
        <v>0.46875</v>
      </c>
      <c r="L10" s="18">
        <f t="shared" si="5"/>
        <v>0.46875</v>
      </c>
      <c r="M10" s="8">
        <v>0.25</v>
      </c>
      <c r="N10" s="8">
        <f t="shared" si="6"/>
        <v>0.25</v>
      </c>
      <c r="O10" s="19">
        <f t="shared" si="7"/>
        <v>0</v>
      </c>
      <c r="P10" s="20">
        <v>0.33333333333333331</v>
      </c>
      <c r="Q10" s="8">
        <v>1.0416666666666666E-2</v>
      </c>
      <c r="R10" s="20"/>
      <c r="S10" s="20"/>
      <c r="T10" s="20"/>
      <c r="U10" s="20"/>
    </row>
    <row r="11" spans="1:21" ht="14.25" customHeight="1" x14ac:dyDescent="0.2">
      <c r="A11" s="13">
        <v>1</v>
      </c>
      <c r="B11" s="14">
        <v>46177</v>
      </c>
      <c r="C11" s="61">
        <v>0.125</v>
      </c>
      <c r="D11" s="61">
        <v>0.46875</v>
      </c>
      <c r="E11" s="15"/>
      <c r="F11" s="16"/>
      <c r="G11" s="17">
        <f t="shared" si="0"/>
        <v>0.125</v>
      </c>
      <c r="H11" s="17">
        <f t="shared" si="1"/>
        <v>0</v>
      </c>
      <c r="I11" s="17">
        <f t="shared" si="2"/>
        <v>0.125</v>
      </c>
      <c r="J11" s="17">
        <f t="shared" si="3"/>
        <v>0</v>
      </c>
      <c r="K11" s="17">
        <f t="shared" si="4"/>
        <v>0.46875</v>
      </c>
      <c r="L11" s="18">
        <f t="shared" si="5"/>
        <v>0.46875</v>
      </c>
      <c r="M11" s="8">
        <v>0.25</v>
      </c>
      <c r="N11" s="8">
        <f t="shared" si="6"/>
        <v>0.25</v>
      </c>
      <c r="O11" s="19">
        <f t="shared" si="7"/>
        <v>0</v>
      </c>
      <c r="P11" s="20">
        <v>0.33333333333333331</v>
      </c>
      <c r="Q11" s="8">
        <v>1.0416666666666666E-2</v>
      </c>
      <c r="R11" s="20"/>
      <c r="S11" s="20"/>
      <c r="T11" s="20"/>
      <c r="U11" s="20"/>
    </row>
    <row r="12" spans="1:21" ht="14.25" customHeight="1" x14ac:dyDescent="0.2">
      <c r="A12" s="13">
        <v>1</v>
      </c>
      <c r="B12" s="14">
        <v>46178</v>
      </c>
      <c r="C12" s="61">
        <v>0.125</v>
      </c>
      <c r="D12" s="61">
        <v>0.46875</v>
      </c>
      <c r="E12" s="15"/>
      <c r="F12" s="16"/>
      <c r="G12" s="17">
        <f t="shared" si="0"/>
        <v>0.125</v>
      </c>
      <c r="H12" s="17">
        <f t="shared" si="1"/>
        <v>0</v>
      </c>
      <c r="I12" s="17">
        <f t="shared" si="2"/>
        <v>0.125</v>
      </c>
      <c r="J12" s="17">
        <f t="shared" si="3"/>
        <v>0</v>
      </c>
      <c r="K12" s="17">
        <f t="shared" si="4"/>
        <v>0.46875</v>
      </c>
      <c r="L12" s="18">
        <f t="shared" si="5"/>
        <v>0.46875</v>
      </c>
      <c r="M12" s="8">
        <v>0.25</v>
      </c>
      <c r="N12" s="8">
        <f t="shared" si="6"/>
        <v>0.25</v>
      </c>
      <c r="O12" s="19">
        <f t="shared" si="7"/>
        <v>0</v>
      </c>
      <c r="P12" s="20">
        <v>0.33333333333333331</v>
      </c>
      <c r="Q12" s="8">
        <v>1.0416666666666666E-2</v>
      </c>
      <c r="R12" s="20"/>
      <c r="S12" s="20"/>
      <c r="T12" s="20"/>
      <c r="U12" s="20"/>
    </row>
    <row r="13" spans="1:21" ht="14.25" customHeight="1" x14ac:dyDescent="0.2">
      <c r="A13" s="21">
        <v>1</v>
      </c>
      <c r="B13" s="22">
        <v>46179</v>
      </c>
      <c r="C13" s="23">
        <v>0.125</v>
      </c>
      <c r="D13" s="23">
        <v>0.46875</v>
      </c>
      <c r="E13" s="24"/>
      <c r="F13" s="25"/>
      <c r="G13" s="26">
        <f t="shared" ref="G13" si="8">IF(C13-E13&gt;0,+C13-E13,0)</f>
        <v>0.125</v>
      </c>
      <c r="H13" s="26">
        <f t="shared" ref="H13" si="9">IF(F13-D13&gt;0,+F13-D13,0)</f>
        <v>0</v>
      </c>
      <c r="I13" s="26">
        <f t="shared" ref="I13" si="10">SUM(G13:H13)</f>
        <v>0.125</v>
      </c>
      <c r="J13" s="26">
        <f t="shared" ref="J13" si="11">IF(C13-E13&lt;0,+(+C13-E13)*-1,0)</f>
        <v>0</v>
      </c>
      <c r="K13" s="26">
        <f t="shared" ref="K13" si="12">IF(F13-D13&lt;0,+(+F13-D13)*-1,0)</f>
        <v>0.46875</v>
      </c>
      <c r="L13" s="27">
        <f t="shared" ref="L13" si="13">+J13+K13</f>
        <v>0.46875</v>
      </c>
      <c r="M13" s="28"/>
      <c r="N13" s="28"/>
      <c r="O13" s="29">
        <f t="shared" ref="O13" si="14">+F13-E13</f>
        <v>0</v>
      </c>
      <c r="P13" s="29"/>
      <c r="Q13" s="28"/>
      <c r="R13" s="29"/>
      <c r="S13" s="29">
        <f t="shared" ref="S13" si="15">+F13-E13</f>
        <v>0</v>
      </c>
      <c r="T13" s="29">
        <v>1.0416666666666666E-2</v>
      </c>
      <c r="U13" s="29">
        <f t="shared" ref="U13" si="16">+S13-T13</f>
        <v>-1.0416666666666666E-2</v>
      </c>
    </row>
    <row r="14" spans="1:21" ht="14.25" customHeight="1" x14ac:dyDescent="0.2">
      <c r="A14" s="13">
        <v>1</v>
      </c>
      <c r="B14" s="14">
        <v>46181</v>
      </c>
      <c r="C14" s="61">
        <v>0.125</v>
      </c>
      <c r="D14" s="61">
        <v>0.46875</v>
      </c>
      <c r="E14" s="15"/>
      <c r="F14" s="16"/>
      <c r="G14" s="17">
        <f t="shared" ref="G14:G19" si="17">IF(C14-E14&gt;0,+C14-E14,0)</f>
        <v>0.125</v>
      </c>
      <c r="H14" s="17">
        <f t="shared" ref="H14:H19" si="18">IF(F14-D14&gt;0,+F14-D14,0)</f>
        <v>0</v>
      </c>
      <c r="I14" s="17">
        <f t="shared" ref="I14:I19" si="19">SUM(G14:H14)</f>
        <v>0.125</v>
      </c>
      <c r="J14" s="17">
        <f t="shared" ref="J14:J19" si="20">IF(C14-E14&lt;0,+(+C14-E14)*-1,0)</f>
        <v>0</v>
      </c>
      <c r="K14" s="17">
        <f t="shared" ref="K14:K19" si="21">IF(F14-D14&lt;0,+(+F14-D14)*-1,0)</f>
        <v>0.46875</v>
      </c>
      <c r="L14" s="18">
        <f t="shared" ref="L14:L19" si="22">+J14+K14</f>
        <v>0.46875</v>
      </c>
      <c r="M14" s="8">
        <v>0.25</v>
      </c>
      <c r="N14" s="8">
        <f t="shared" ref="N14:N18" si="23">IF(M14-E14&gt;0,M14-E14,0)</f>
        <v>0.25</v>
      </c>
      <c r="O14" s="19">
        <f t="shared" ref="O14:O19" si="24">+F14-E14</f>
        <v>0</v>
      </c>
      <c r="P14" s="20">
        <v>0.33333333333333331</v>
      </c>
      <c r="Q14" s="8">
        <v>1.0416666666666666E-2</v>
      </c>
      <c r="R14" s="20"/>
      <c r="S14" s="20"/>
      <c r="T14" s="20"/>
      <c r="U14" s="20"/>
    </row>
    <row r="15" spans="1:21" ht="14.25" customHeight="1" x14ac:dyDescent="0.2">
      <c r="A15" s="13">
        <v>1</v>
      </c>
      <c r="B15" s="14">
        <v>46182</v>
      </c>
      <c r="C15" s="61">
        <v>0.125</v>
      </c>
      <c r="D15" s="61">
        <v>0.46875</v>
      </c>
      <c r="E15" s="15"/>
      <c r="F15" s="16"/>
      <c r="G15" s="17">
        <f t="shared" si="17"/>
        <v>0.125</v>
      </c>
      <c r="H15" s="17">
        <f t="shared" si="18"/>
        <v>0</v>
      </c>
      <c r="I15" s="17">
        <f t="shared" si="19"/>
        <v>0.125</v>
      </c>
      <c r="J15" s="17">
        <f t="shared" si="20"/>
        <v>0</v>
      </c>
      <c r="K15" s="17">
        <f t="shared" si="21"/>
        <v>0.46875</v>
      </c>
      <c r="L15" s="18">
        <f t="shared" si="22"/>
        <v>0.46875</v>
      </c>
      <c r="M15" s="8">
        <v>0.25</v>
      </c>
      <c r="N15" s="8">
        <f t="shared" si="23"/>
        <v>0.25</v>
      </c>
      <c r="O15" s="19">
        <f t="shared" si="24"/>
        <v>0</v>
      </c>
      <c r="P15" s="20">
        <v>0.33333333333333331</v>
      </c>
      <c r="Q15" s="8">
        <v>1.0416666666666666E-2</v>
      </c>
      <c r="R15" s="64"/>
      <c r="S15" s="20"/>
      <c r="T15" s="20"/>
      <c r="U15" s="20"/>
    </row>
    <row r="16" spans="1:21" ht="14.25" customHeight="1" x14ac:dyDescent="0.2">
      <c r="A16" s="13">
        <v>1</v>
      </c>
      <c r="B16" s="14">
        <v>46183</v>
      </c>
      <c r="C16" s="61">
        <v>0.125</v>
      </c>
      <c r="D16" s="61">
        <v>0.46875</v>
      </c>
      <c r="E16" s="15"/>
      <c r="F16" s="16"/>
      <c r="G16" s="17">
        <f t="shared" si="17"/>
        <v>0.125</v>
      </c>
      <c r="H16" s="17">
        <f t="shared" si="18"/>
        <v>0</v>
      </c>
      <c r="I16" s="17">
        <f t="shared" si="19"/>
        <v>0.125</v>
      </c>
      <c r="J16" s="17">
        <f t="shared" si="20"/>
        <v>0</v>
      </c>
      <c r="K16" s="17">
        <f t="shared" si="21"/>
        <v>0.46875</v>
      </c>
      <c r="L16" s="18">
        <f t="shared" si="22"/>
        <v>0.46875</v>
      </c>
      <c r="M16" s="8">
        <v>0.25</v>
      </c>
      <c r="N16" s="8">
        <f t="shared" si="23"/>
        <v>0.25</v>
      </c>
      <c r="O16" s="19">
        <f t="shared" si="24"/>
        <v>0</v>
      </c>
      <c r="P16" s="20">
        <v>0.33333333333333331</v>
      </c>
      <c r="Q16" s="8">
        <v>1.0416666666666666E-2</v>
      </c>
      <c r="R16" s="20"/>
      <c r="S16" s="20"/>
      <c r="T16" s="20"/>
      <c r="U16" s="20"/>
    </row>
    <row r="17" spans="1:21" ht="14.25" customHeight="1" x14ac:dyDescent="0.2">
      <c r="A17" s="13">
        <v>1</v>
      </c>
      <c r="B17" s="14">
        <v>46184</v>
      </c>
      <c r="C17" s="61">
        <v>0.125</v>
      </c>
      <c r="D17" s="61">
        <v>0.46875</v>
      </c>
      <c r="E17" s="15"/>
      <c r="F17" s="16"/>
      <c r="G17" s="17">
        <f t="shared" si="17"/>
        <v>0.125</v>
      </c>
      <c r="H17" s="17">
        <f t="shared" si="18"/>
        <v>0</v>
      </c>
      <c r="I17" s="17">
        <f t="shared" si="19"/>
        <v>0.125</v>
      </c>
      <c r="J17" s="17">
        <f t="shared" si="20"/>
        <v>0</v>
      </c>
      <c r="K17" s="17">
        <f t="shared" si="21"/>
        <v>0.46875</v>
      </c>
      <c r="L17" s="18">
        <f t="shared" si="22"/>
        <v>0.46875</v>
      </c>
      <c r="M17" s="8">
        <v>0.25</v>
      </c>
      <c r="N17" s="8">
        <f t="shared" si="23"/>
        <v>0.25</v>
      </c>
      <c r="O17" s="19">
        <f t="shared" si="24"/>
        <v>0</v>
      </c>
      <c r="P17" s="20">
        <v>0.33333333333333331</v>
      </c>
      <c r="Q17" s="8">
        <v>1.0416666666666666E-2</v>
      </c>
      <c r="R17" s="64"/>
      <c r="S17" s="20"/>
      <c r="T17" s="20"/>
      <c r="U17" s="20"/>
    </row>
    <row r="18" spans="1:21" ht="14.25" customHeight="1" x14ac:dyDescent="0.2">
      <c r="A18" s="13">
        <v>1</v>
      </c>
      <c r="B18" s="14">
        <v>46185</v>
      </c>
      <c r="C18" s="61">
        <v>0.125</v>
      </c>
      <c r="D18" s="61">
        <v>0.46875</v>
      </c>
      <c r="E18" s="15"/>
      <c r="F18" s="16"/>
      <c r="G18" s="17">
        <f t="shared" si="17"/>
        <v>0.125</v>
      </c>
      <c r="H18" s="17">
        <f t="shared" si="18"/>
        <v>0</v>
      </c>
      <c r="I18" s="17">
        <f t="shared" si="19"/>
        <v>0.125</v>
      </c>
      <c r="J18" s="17">
        <f t="shared" si="20"/>
        <v>0</v>
      </c>
      <c r="K18" s="17">
        <f t="shared" si="21"/>
        <v>0.46875</v>
      </c>
      <c r="L18" s="18">
        <f t="shared" si="22"/>
        <v>0.46875</v>
      </c>
      <c r="M18" s="8">
        <v>0.25</v>
      </c>
      <c r="N18" s="8">
        <f t="shared" si="23"/>
        <v>0.25</v>
      </c>
      <c r="O18" s="19">
        <f t="shared" si="24"/>
        <v>0</v>
      </c>
      <c r="P18" s="20">
        <v>0.33333333333333331</v>
      </c>
      <c r="Q18" s="8">
        <v>1.0416666666666666E-2</v>
      </c>
      <c r="R18" s="64"/>
      <c r="S18" s="20"/>
      <c r="T18" s="20"/>
      <c r="U18" s="20"/>
    </row>
    <row r="19" spans="1:21" ht="14.25" customHeight="1" x14ac:dyDescent="0.2">
      <c r="A19" s="21">
        <v>1</v>
      </c>
      <c r="B19" s="22">
        <v>46186</v>
      </c>
      <c r="C19" s="23">
        <v>0.125</v>
      </c>
      <c r="D19" s="23">
        <v>0.46875</v>
      </c>
      <c r="E19" s="24"/>
      <c r="F19" s="25"/>
      <c r="G19" s="26">
        <f t="shared" si="17"/>
        <v>0.125</v>
      </c>
      <c r="H19" s="26">
        <f t="shared" si="18"/>
        <v>0</v>
      </c>
      <c r="I19" s="26">
        <f t="shared" si="19"/>
        <v>0.125</v>
      </c>
      <c r="J19" s="26">
        <f t="shared" si="20"/>
        <v>0</v>
      </c>
      <c r="K19" s="26">
        <f t="shared" si="21"/>
        <v>0.46875</v>
      </c>
      <c r="L19" s="27">
        <f t="shared" si="22"/>
        <v>0.46875</v>
      </c>
      <c r="M19" s="28"/>
      <c r="N19" s="28"/>
      <c r="O19" s="29">
        <f t="shared" si="24"/>
        <v>0</v>
      </c>
      <c r="P19" s="29"/>
      <c r="Q19" s="28"/>
      <c r="R19" s="29"/>
      <c r="S19" s="29">
        <f t="shared" ref="S19" si="25">+F19-E19</f>
        <v>0</v>
      </c>
      <c r="T19" s="29">
        <v>1.0416666666666666E-2</v>
      </c>
      <c r="U19" s="29">
        <f t="shared" ref="U19" si="26">+S19-T19</f>
        <v>-1.0416666666666666E-2</v>
      </c>
    </row>
    <row r="20" spans="1:21" ht="14.25" customHeight="1" x14ac:dyDescent="0.2">
      <c r="A20" s="13">
        <v>1</v>
      </c>
      <c r="B20" s="14">
        <v>46188</v>
      </c>
      <c r="C20" s="61">
        <v>0.125</v>
      </c>
      <c r="D20" s="61">
        <v>0.46875</v>
      </c>
      <c r="E20" s="15"/>
      <c r="F20" s="16"/>
      <c r="G20" s="17">
        <f t="shared" ref="G20:G26" si="27">IF(C20-E20&gt;0,+C20-E20,0)</f>
        <v>0.125</v>
      </c>
      <c r="H20" s="17">
        <f t="shared" ref="H20:H26" si="28">IF(F20-D20&gt;0,+F20-D20,0)</f>
        <v>0</v>
      </c>
      <c r="I20" s="17">
        <f t="shared" ref="I20:I26" si="29">SUM(G20:H20)</f>
        <v>0.125</v>
      </c>
      <c r="J20" s="17">
        <f t="shared" ref="J20:J26" si="30">IF(C20-E20&lt;0,+(+C20-E20)*-1,0)</f>
        <v>0</v>
      </c>
      <c r="K20" s="17">
        <f t="shared" ref="K20:K26" si="31">IF(F20-D20&lt;0,+(+F20-D20)*-1,0)</f>
        <v>0.46875</v>
      </c>
      <c r="L20" s="18">
        <f t="shared" ref="L20:L26" si="32">+J20+K20</f>
        <v>0.46875</v>
      </c>
      <c r="M20" s="8">
        <v>0.25</v>
      </c>
      <c r="N20" s="8">
        <f t="shared" ref="N20:N24" si="33">IF(M20-E20&gt;0,M20-E20,0)</f>
        <v>0.25</v>
      </c>
      <c r="O20" s="19">
        <f t="shared" ref="O20:O26" si="34">+F20-E20</f>
        <v>0</v>
      </c>
      <c r="P20" s="20">
        <v>0.33333333333333331</v>
      </c>
      <c r="Q20" s="8">
        <v>1.0416666666666666E-2</v>
      </c>
      <c r="R20" s="20"/>
      <c r="S20" s="20"/>
      <c r="T20" s="20"/>
      <c r="U20" s="20"/>
    </row>
    <row r="21" spans="1:21" ht="14.25" customHeight="1" x14ac:dyDescent="0.2">
      <c r="A21" s="13">
        <v>1</v>
      </c>
      <c r="B21" s="14">
        <v>46189</v>
      </c>
      <c r="C21" s="61">
        <v>0.125</v>
      </c>
      <c r="D21" s="61">
        <v>0.46875</v>
      </c>
      <c r="E21" s="15"/>
      <c r="F21" s="16"/>
      <c r="G21" s="17">
        <f t="shared" si="27"/>
        <v>0.125</v>
      </c>
      <c r="H21" s="17">
        <f t="shared" si="28"/>
        <v>0</v>
      </c>
      <c r="I21" s="17">
        <f t="shared" si="29"/>
        <v>0.125</v>
      </c>
      <c r="J21" s="17">
        <f t="shared" si="30"/>
        <v>0</v>
      </c>
      <c r="K21" s="17">
        <f t="shared" si="31"/>
        <v>0.46875</v>
      </c>
      <c r="L21" s="18">
        <f t="shared" si="32"/>
        <v>0.46875</v>
      </c>
      <c r="M21" s="8">
        <v>0.25</v>
      </c>
      <c r="N21" s="8">
        <f t="shared" si="33"/>
        <v>0.25</v>
      </c>
      <c r="O21" s="19">
        <f t="shared" si="34"/>
        <v>0</v>
      </c>
      <c r="P21" s="20">
        <v>0.33333333333333331</v>
      </c>
      <c r="Q21" s="8">
        <v>1.0416666666666666E-2</v>
      </c>
      <c r="R21" s="20"/>
      <c r="S21" s="20"/>
      <c r="T21" s="20"/>
      <c r="U21" s="20"/>
    </row>
    <row r="22" spans="1:21" ht="14.25" customHeight="1" x14ac:dyDescent="0.2">
      <c r="A22" s="13">
        <v>1</v>
      </c>
      <c r="B22" s="14">
        <v>46190</v>
      </c>
      <c r="C22" s="61">
        <v>0.125</v>
      </c>
      <c r="D22" s="61">
        <v>0.46875</v>
      </c>
      <c r="E22" s="15"/>
      <c r="F22" s="16"/>
      <c r="G22" s="17">
        <f t="shared" ref="G22" si="35">IF(C22-E22&gt;0,+C22-E22,0)</f>
        <v>0.125</v>
      </c>
      <c r="H22" s="17">
        <f t="shared" ref="H22" si="36">IF(F22-D22&gt;0,+F22-D22,0)</f>
        <v>0</v>
      </c>
      <c r="I22" s="17">
        <f t="shared" ref="I22" si="37">SUM(G22:H22)</f>
        <v>0.125</v>
      </c>
      <c r="J22" s="17">
        <f t="shared" ref="J22" si="38">IF(C22-E22&lt;0,+(+C22-E22)*-1,0)</f>
        <v>0</v>
      </c>
      <c r="K22" s="17">
        <f t="shared" ref="K22" si="39">IF(F22-D22&lt;0,+(+F22-D22)*-1,0)</f>
        <v>0.46875</v>
      </c>
      <c r="L22" s="18">
        <f t="shared" ref="L22" si="40">+J22+K22</f>
        <v>0.46875</v>
      </c>
      <c r="M22" s="8">
        <v>0.25</v>
      </c>
      <c r="N22" s="8">
        <f t="shared" ref="N22" si="41">IF(M22-E22&gt;0,M22-E22,0)</f>
        <v>0.25</v>
      </c>
      <c r="O22" s="19">
        <f t="shared" ref="O22" si="42">+F22-E22</f>
        <v>0</v>
      </c>
      <c r="P22" s="20">
        <v>0.33333333333333331</v>
      </c>
      <c r="Q22" s="8">
        <v>1.0416666666666666E-2</v>
      </c>
      <c r="R22" s="20"/>
      <c r="S22" s="20"/>
      <c r="T22" s="20"/>
      <c r="U22" s="20"/>
    </row>
    <row r="23" spans="1:21" ht="14.25" customHeight="1" x14ac:dyDescent="0.2">
      <c r="A23" s="13">
        <v>1</v>
      </c>
      <c r="B23" s="14">
        <v>46191</v>
      </c>
      <c r="C23" s="61">
        <v>0.125</v>
      </c>
      <c r="D23" s="61">
        <v>0.46875</v>
      </c>
      <c r="E23" s="15"/>
      <c r="F23" s="16"/>
      <c r="G23" s="17">
        <f t="shared" si="27"/>
        <v>0.125</v>
      </c>
      <c r="H23" s="17">
        <f t="shared" si="28"/>
        <v>0</v>
      </c>
      <c r="I23" s="17">
        <f t="shared" si="29"/>
        <v>0.125</v>
      </c>
      <c r="J23" s="17">
        <f t="shared" si="30"/>
        <v>0</v>
      </c>
      <c r="K23" s="17">
        <f t="shared" si="31"/>
        <v>0.46875</v>
      </c>
      <c r="L23" s="18">
        <f t="shared" si="32"/>
        <v>0.46875</v>
      </c>
      <c r="M23" s="8">
        <v>0.25</v>
      </c>
      <c r="N23" s="8">
        <f t="shared" si="33"/>
        <v>0.25</v>
      </c>
      <c r="O23" s="19">
        <f t="shared" si="34"/>
        <v>0</v>
      </c>
      <c r="P23" s="20">
        <v>0.33333333333333331</v>
      </c>
      <c r="Q23" s="8">
        <v>1.0416666666666666E-2</v>
      </c>
      <c r="R23" s="20"/>
      <c r="S23" s="20"/>
      <c r="T23" s="20"/>
      <c r="U23" s="20"/>
    </row>
    <row r="24" spans="1:21" ht="14.25" customHeight="1" x14ac:dyDescent="0.2">
      <c r="A24" s="13">
        <v>1</v>
      </c>
      <c r="B24" s="14">
        <v>46192</v>
      </c>
      <c r="C24" s="61">
        <v>0.125</v>
      </c>
      <c r="D24" s="61">
        <v>0.46875</v>
      </c>
      <c r="E24" s="15"/>
      <c r="F24" s="16"/>
      <c r="G24" s="17">
        <f t="shared" si="27"/>
        <v>0.125</v>
      </c>
      <c r="H24" s="17">
        <f t="shared" si="28"/>
        <v>0</v>
      </c>
      <c r="I24" s="17">
        <f t="shared" si="29"/>
        <v>0.125</v>
      </c>
      <c r="J24" s="17">
        <f t="shared" si="30"/>
        <v>0</v>
      </c>
      <c r="K24" s="17">
        <f t="shared" si="31"/>
        <v>0.46875</v>
      </c>
      <c r="L24" s="18">
        <f t="shared" si="32"/>
        <v>0.46875</v>
      </c>
      <c r="M24" s="8">
        <v>0.25</v>
      </c>
      <c r="N24" s="8">
        <f t="shared" si="33"/>
        <v>0.25</v>
      </c>
      <c r="O24" s="19">
        <f t="shared" si="34"/>
        <v>0</v>
      </c>
      <c r="P24" s="20">
        <v>0.33333333333333331</v>
      </c>
      <c r="Q24" s="8">
        <v>1.0416666666666666E-2</v>
      </c>
      <c r="R24" s="20"/>
      <c r="S24" s="20"/>
      <c r="T24" s="20"/>
      <c r="U24" s="20"/>
    </row>
    <row r="25" spans="1:21" ht="14.25" customHeight="1" x14ac:dyDescent="0.2">
      <c r="A25" s="21">
        <v>1</v>
      </c>
      <c r="B25" s="22">
        <v>46193</v>
      </c>
      <c r="C25" s="23">
        <v>0.125</v>
      </c>
      <c r="D25" s="23">
        <v>0.46875</v>
      </c>
      <c r="E25" s="24"/>
      <c r="F25" s="25"/>
      <c r="G25" s="26">
        <f t="shared" si="27"/>
        <v>0.125</v>
      </c>
      <c r="H25" s="26">
        <f t="shared" si="28"/>
        <v>0</v>
      </c>
      <c r="I25" s="26">
        <f t="shared" si="29"/>
        <v>0.125</v>
      </c>
      <c r="J25" s="26">
        <f t="shared" si="30"/>
        <v>0</v>
      </c>
      <c r="K25" s="26">
        <f t="shared" si="31"/>
        <v>0.46875</v>
      </c>
      <c r="L25" s="27">
        <f t="shared" si="32"/>
        <v>0.46875</v>
      </c>
      <c r="M25" s="28"/>
      <c r="N25" s="28"/>
      <c r="O25" s="29">
        <f t="shared" si="34"/>
        <v>0</v>
      </c>
      <c r="P25" s="29"/>
      <c r="Q25" s="28"/>
      <c r="R25" s="29"/>
      <c r="S25" s="29">
        <f t="shared" ref="S25" si="43">+F25-E25</f>
        <v>0</v>
      </c>
      <c r="T25" s="29">
        <v>1.0416666666666666E-2</v>
      </c>
      <c r="U25" s="29">
        <f t="shared" ref="U25" si="44">+S25-T25</f>
        <v>-1.0416666666666666E-2</v>
      </c>
    </row>
    <row r="26" spans="1:21" ht="14.25" customHeight="1" x14ac:dyDescent="0.2">
      <c r="A26" s="13">
        <v>1</v>
      </c>
      <c r="B26" s="14">
        <v>46195</v>
      </c>
      <c r="C26" s="61">
        <v>0.125</v>
      </c>
      <c r="D26" s="61">
        <v>0.46875</v>
      </c>
      <c r="E26" s="15"/>
      <c r="F26" s="16"/>
      <c r="G26" s="17">
        <f t="shared" si="27"/>
        <v>0.125</v>
      </c>
      <c r="H26" s="17">
        <f t="shared" si="28"/>
        <v>0</v>
      </c>
      <c r="I26" s="17">
        <f t="shared" si="29"/>
        <v>0.125</v>
      </c>
      <c r="J26" s="17">
        <f t="shared" si="30"/>
        <v>0</v>
      </c>
      <c r="K26" s="17">
        <f t="shared" si="31"/>
        <v>0.46875</v>
      </c>
      <c r="L26" s="18">
        <f t="shared" si="32"/>
        <v>0.46875</v>
      </c>
      <c r="M26" s="8">
        <v>0.25</v>
      </c>
      <c r="N26" s="8">
        <f t="shared" ref="N26" si="45">IF(M26-E26&gt;0,M26-E26,0)</f>
        <v>0.25</v>
      </c>
      <c r="O26" s="19">
        <f t="shared" si="34"/>
        <v>0</v>
      </c>
      <c r="P26" s="20">
        <v>0.33333333333333331</v>
      </c>
      <c r="Q26" s="8">
        <v>1.0416666666666666E-2</v>
      </c>
      <c r="R26" s="20"/>
      <c r="S26" s="20"/>
      <c r="T26" s="20"/>
      <c r="U26" s="20"/>
    </row>
    <row r="27" spans="1:21" ht="14.25" customHeight="1" x14ac:dyDescent="0.2">
      <c r="A27" s="13">
        <v>1</v>
      </c>
      <c r="B27" s="14">
        <v>46196</v>
      </c>
      <c r="C27" s="61">
        <v>0.125</v>
      </c>
      <c r="D27" s="61">
        <v>0.46875</v>
      </c>
      <c r="E27" s="15"/>
      <c r="F27" s="16"/>
      <c r="G27" s="17">
        <f t="shared" ref="G27:G33" si="46">IF(C27-E27&gt;0,+C27-E27,0)</f>
        <v>0.125</v>
      </c>
      <c r="H27" s="17">
        <f t="shared" ref="H27:H33" si="47">IF(F27-D27&gt;0,+F27-D27,0)</f>
        <v>0</v>
      </c>
      <c r="I27" s="17">
        <f t="shared" ref="I27:I33" si="48">SUM(G27:H27)</f>
        <v>0.125</v>
      </c>
      <c r="J27" s="17">
        <f t="shared" ref="J27:J33" si="49">IF(C27-E27&lt;0,+(+C27-E27)*-1,0)</f>
        <v>0</v>
      </c>
      <c r="K27" s="17">
        <f t="shared" ref="K27:K33" si="50">IF(F27-D27&lt;0,+(+F27-D27)*-1,0)</f>
        <v>0.46875</v>
      </c>
      <c r="L27" s="18">
        <f t="shared" ref="L27:L33" si="51">+J27+K27</f>
        <v>0.46875</v>
      </c>
      <c r="M27" s="8">
        <v>0.25</v>
      </c>
      <c r="N27" s="8">
        <f t="shared" ref="N27:N30" si="52">IF(M27-E27&gt;0,M27-E27,0)</f>
        <v>0.25</v>
      </c>
      <c r="O27" s="19">
        <f t="shared" ref="O27:O33" si="53">+F27-E27</f>
        <v>0</v>
      </c>
      <c r="P27" s="20">
        <v>0.33333333333333331</v>
      </c>
      <c r="Q27" s="8">
        <v>1.0416666666666666E-2</v>
      </c>
      <c r="R27" s="20"/>
      <c r="S27" s="20"/>
      <c r="T27" s="20"/>
      <c r="U27" s="20"/>
    </row>
    <row r="28" spans="1:21" ht="14.25" customHeight="1" x14ac:dyDescent="0.2">
      <c r="A28" s="13">
        <v>1</v>
      </c>
      <c r="B28" s="14">
        <v>46197</v>
      </c>
      <c r="C28" s="61">
        <v>0.125</v>
      </c>
      <c r="D28" s="61">
        <v>0.46875</v>
      </c>
      <c r="E28" s="15"/>
      <c r="F28" s="16"/>
      <c r="G28" s="17">
        <f t="shared" si="46"/>
        <v>0.125</v>
      </c>
      <c r="H28" s="17">
        <f t="shared" si="47"/>
        <v>0</v>
      </c>
      <c r="I28" s="17">
        <f t="shared" si="48"/>
        <v>0.125</v>
      </c>
      <c r="J28" s="17">
        <f t="shared" si="49"/>
        <v>0</v>
      </c>
      <c r="K28" s="17">
        <f t="shared" si="50"/>
        <v>0.46875</v>
      </c>
      <c r="L28" s="18">
        <f t="shared" si="51"/>
        <v>0.46875</v>
      </c>
      <c r="M28" s="8">
        <v>0.25</v>
      </c>
      <c r="N28" s="8">
        <f t="shared" si="52"/>
        <v>0.25</v>
      </c>
      <c r="O28" s="19">
        <f t="shared" si="53"/>
        <v>0</v>
      </c>
      <c r="P28" s="20">
        <v>0.33333333333333331</v>
      </c>
      <c r="Q28" s="8">
        <v>1.0416666666666666E-2</v>
      </c>
      <c r="R28" s="20"/>
      <c r="S28" s="20"/>
      <c r="T28" s="20"/>
      <c r="U28" s="20"/>
    </row>
    <row r="29" spans="1:21" ht="14.25" customHeight="1" x14ac:dyDescent="0.2">
      <c r="A29" s="13">
        <v>1</v>
      </c>
      <c r="B29" s="14">
        <v>46198</v>
      </c>
      <c r="C29" s="61">
        <v>0.125</v>
      </c>
      <c r="D29" s="61">
        <v>0.46875</v>
      </c>
      <c r="E29" s="15"/>
      <c r="F29" s="16"/>
      <c r="G29" s="17">
        <f t="shared" ref="G29" si="54">IF(C29-E29&gt;0,+C29-E29,0)</f>
        <v>0.125</v>
      </c>
      <c r="H29" s="17">
        <f t="shared" ref="H29" si="55">IF(F29-D29&gt;0,+F29-D29,0)</f>
        <v>0</v>
      </c>
      <c r="I29" s="17">
        <f t="shared" ref="I29" si="56">SUM(G29:H29)</f>
        <v>0.125</v>
      </c>
      <c r="J29" s="17">
        <f t="shared" ref="J29" si="57">IF(C29-E29&lt;0,+(+C29-E29)*-1,0)</f>
        <v>0</v>
      </c>
      <c r="K29" s="17">
        <f t="shared" ref="K29" si="58">IF(F29-D29&lt;0,+(+F29-D29)*-1,0)</f>
        <v>0.46875</v>
      </c>
      <c r="L29" s="18">
        <f t="shared" ref="L29" si="59">+J29+K29</f>
        <v>0.46875</v>
      </c>
      <c r="M29" s="8">
        <v>0.25</v>
      </c>
      <c r="N29" s="8">
        <f t="shared" ref="N29" si="60">IF(M29-E29&gt;0,M29-E29,0)</f>
        <v>0.25</v>
      </c>
      <c r="O29" s="19">
        <f t="shared" ref="O29" si="61">+F29-E29</f>
        <v>0</v>
      </c>
      <c r="P29" s="20">
        <v>0.33333333333333331</v>
      </c>
      <c r="Q29" s="8">
        <v>1.0416666666666666E-2</v>
      </c>
      <c r="R29" s="20"/>
      <c r="S29" s="20"/>
      <c r="T29" s="20"/>
      <c r="U29" s="20"/>
    </row>
    <row r="30" spans="1:21" ht="14.25" customHeight="1" x14ac:dyDescent="0.2">
      <c r="A30" s="13">
        <v>1</v>
      </c>
      <c r="B30" s="14">
        <v>46199</v>
      </c>
      <c r="C30" s="61">
        <v>0.125</v>
      </c>
      <c r="D30" s="61">
        <v>0.46875</v>
      </c>
      <c r="E30" s="15"/>
      <c r="F30" s="16"/>
      <c r="G30" s="17">
        <f t="shared" si="46"/>
        <v>0.125</v>
      </c>
      <c r="H30" s="17">
        <f t="shared" si="47"/>
        <v>0</v>
      </c>
      <c r="I30" s="17">
        <f t="shared" si="48"/>
        <v>0.125</v>
      </c>
      <c r="J30" s="17">
        <f t="shared" si="49"/>
        <v>0</v>
      </c>
      <c r="K30" s="17">
        <f t="shared" si="50"/>
        <v>0.46875</v>
      </c>
      <c r="L30" s="18">
        <f t="shared" si="51"/>
        <v>0.46875</v>
      </c>
      <c r="M30" s="8">
        <v>0.25</v>
      </c>
      <c r="N30" s="8">
        <f t="shared" si="52"/>
        <v>0.25</v>
      </c>
      <c r="O30" s="19">
        <f t="shared" si="53"/>
        <v>0</v>
      </c>
      <c r="P30" s="20">
        <v>0.33333333333333331</v>
      </c>
      <c r="Q30" s="8">
        <v>1.0416666666666666E-2</v>
      </c>
      <c r="R30" s="20"/>
      <c r="S30" s="20"/>
      <c r="T30" s="20"/>
      <c r="U30" s="20"/>
    </row>
    <row r="31" spans="1:21" ht="14.25" customHeight="1" x14ac:dyDescent="0.2">
      <c r="A31" s="21">
        <v>1</v>
      </c>
      <c r="B31" s="22">
        <v>46200</v>
      </c>
      <c r="C31" s="23">
        <v>0.125</v>
      </c>
      <c r="D31" s="23">
        <v>0.46875</v>
      </c>
      <c r="E31" s="24"/>
      <c r="F31" s="25"/>
      <c r="G31" s="26">
        <f t="shared" si="46"/>
        <v>0.125</v>
      </c>
      <c r="H31" s="26">
        <f t="shared" si="47"/>
        <v>0</v>
      </c>
      <c r="I31" s="26">
        <f t="shared" si="48"/>
        <v>0.125</v>
      </c>
      <c r="J31" s="26">
        <f t="shared" si="49"/>
        <v>0</v>
      </c>
      <c r="K31" s="26">
        <f t="shared" si="50"/>
        <v>0.46875</v>
      </c>
      <c r="L31" s="27">
        <f t="shared" si="51"/>
        <v>0.46875</v>
      </c>
      <c r="M31" s="28"/>
      <c r="N31" s="28"/>
      <c r="O31" s="29">
        <f t="shared" si="53"/>
        <v>0</v>
      </c>
      <c r="P31" s="29"/>
      <c r="Q31" s="28"/>
      <c r="R31" s="29"/>
      <c r="S31" s="29">
        <f t="shared" ref="S31:S33" si="62">+F31-E31</f>
        <v>0</v>
      </c>
      <c r="T31" s="29">
        <v>1.0416666666666666E-2</v>
      </c>
      <c r="U31" s="29">
        <f t="shared" ref="U31:U33" si="63">+S31-T31</f>
        <v>-1.0416666666666666E-2</v>
      </c>
    </row>
    <row r="32" spans="1:21" ht="14.25" customHeight="1" x14ac:dyDescent="0.2">
      <c r="A32" s="13">
        <v>1</v>
      </c>
      <c r="B32" s="14">
        <v>46202</v>
      </c>
      <c r="C32" s="61">
        <v>0.125</v>
      </c>
      <c r="D32" s="61">
        <v>0.46875</v>
      </c>
      <c r="E32" s="15"/>
      <c r="F32" s="16"/>
      <c r="G32" s="17">
        <f t="shared" ref="G32:G33" si="64">IF(C32-E32&gt;0,+C32-E32,0)</f>
        <v>0.125</v>
      </c>
      <c r="H32" s="17">
        <f t="shared" ref="H32:H33" si="65">IF(F32-D32&gt;0,+F32-D32,0)</f>
        <v>0</v>
      </c>
      <c r="I32" s="17">
        <f t="shared" ref="I32:I33" si="66">SUM(G32:H32)</f>
        <v>0.125</v>
      </c>
      <c r="J32" s="17">
        <f t="shared" ref="J32:J33" si="67">IF(C32-E32&lt;0,+(+C32-E32)*-1,0)</f>
        <v>0</v>
      </c>
      <c r="K32" s="17">
        <f t="shared" ref="K32:K33" si="68">IF(F32-D32&lt;0,+(+F32-D32)*-1,0)</f>
        <v>0.46875</v>
      </c>
      <c r="L32" s="18">
        <f t="shared" ref="L32:L33" si="69">+J32+K32</f>
        <v>0.46875</v>
      </c>
      <c r="M32" s="8">
        <v>0.25</v>
      </c>
      <c r="N32" s="8">
        <f t="shared" ref="N32:N33" si="70">IF(M32-E32&gt;0,M32-E32,0)</f>
        <v>0.25</v>
      </c>
      <c r="O32" s="19">
        <f t="shared" ref="O32:O33" si="71">+F32-E32</f>
        <v>0</v>
      </c>
      <c r="P32" s="20">
        <v>0.33333333333333331</v>
      </c>
      <c r="Q32" s="8">
        <v>1.0416666666666666E-2</v>
      </c>
      <c r="R32" s="20"/>
      <c r="S32" s="20"/>
      <c r="T32" s="20"/>
      <c r="U32" s="20"/>
    </row>
    <row r="33" spans="1:21" ht="14.25" customHeight="1" x14ac:dyDescent="0.2">
      <c r="A33" s="13">
        <v>1</v>
      </c>
      <c r="B33" s="14">
        <v>46203</v>
      </c>
      <c r="C33" s="61">
        <v>0.125</v>
      </c>
      <c r="D33" s="61">
        <v>0.46875</v>
      </c>
      <c r="E33" s="15"/>
      <c r="F33" s="16"/>
      <c r="G33" s="17">
        <f t="shared" si="64"/>
        <v>0.125</v>
      </c>
      <c r="H33" s="17">
        <f t="shared" si="65"/>
        <v>0</v>
      </c>
      <c r="I33" s="17">
        <f t="shared" si="66"/>
        <v>0.125</v>
      </c>
      <c r="J33" s="17">
        <f t="shared" si="67"/>
        <v>0</v>
      </c>
      <c r="K33" s="17">
        <f t="shared" si="68"/>
        <v>0.46875</v>
      </c>
      <c r="L33" s="18">
        <f t="shared" si="69"/>
        <v>0.46875</v>
      </c>
      <c r="M33" s="8">
        <v>0.25</v>
      </c>
      <c r="N33" s="8">
        <f t="shared" si="70"/>
        <v>0.25</v>
      </c>
      <c r="O33" s="19">
        <f t="shared" si="71"/>
        <v>0</v>
      </c>
      <c r="P33" s="20">
        <v>0.33333333333333331</v>
      </c>
      <c r="Q33" s="8">
        <v>1.0416666666666666E-2</v>
      </c>
      <c r="R33" s="20"/>
      <c r="S33" s="20"/>
      <c r="T33" s="20"/>
      <c r="U33" s="20"/>
    </row>
    <row r="34" spans="1:21" ht="18.75" customHeight="1" x14ac:dyDescent="0.2">
      <c r="A34" s="30"/>
      <c r="B34" s="30"/>
      <c r="C34" s="30"/>
      <c r="D34" s="30"/>
      <c r="E34" s="31"/>
      <c r="F34" s="32"/>
      <c r="G34" s="33"/>
      <c r="H34" s="33"/>
      <c r="I34" s="33"/>
      <c r="J34" s="33"/>
      <c r="K34" s="33"/>
      <c r="L34" s="33"/>
      <c r="M34" s="30"/>
      <c r="N34" s="34">
        <f>SUM(N8:N33)</f>
        <v>5.5</v>
      </c>
      <c r="O34" s="34"/>
      <c r="P34" s="34"/>
      <c r="Q34" s="34"/>
      <c r="R34" s="34">
        <f>SUM(R8:R33)</f>
        <v>0</v>
      </c>
      <c r="S34" s="34"/>
      <c r="T34" s="34"/>
      <c r="U34" s="34">
        <f>SUM(U8:U33)</f>
        <v>-4.1666666666666664E-2</v>
      </c>
    </row>
    <row r="35" spans="1:21" x14ac:dyDescent="0.2">
      <c r="O35" s="35"/>
    </row>
    <row r="36" spans="1:21" ht="12.75" thickBot="1" x14ac:dyDescent="0.25">
      <c r="A36" s="36"/>
      <c r="G36" s="69"/>
      <c r="H36" s="69"/>
      <c r="I36" s="7"/>
      <c r="J36" s="37"/>
      <c r="K36" s="7"/>
      <c r="L36" s="37"/>
      <c r="R36" s="39"/>
      <c r="U36" s="39"/>
    </row>
    <row r="37" spans="1:21" ht="48" x14ac:dyDescent="0.2">
      <c r="A37" s="36"/>
      <c r="G37" s="70" t="s">
        <v>23</v>
      </c>
      <c r="H37" s="70"/>
      <c r="I37" s="32" t="s">
        <v>24</v>
      </c>
      <c r="J37" s="32" t="s">
        <v>25</v>
      </c>
      <c r="K37" s="40" t="s">
        <v>26</v>
      </c>
      <c r="L37" s="32" t="s">
        <v>27</v>
      </c>
      <c r="M37" s="41" t="s">
        <v>28</v>
      </c>
      <c r="N37" s="42" t="s">
        <v>29</v>
      </c>
      <c r="O37" s="43" t="s">
        <v>30</v>
      </c>
      <c r="P37" s="44" t="s">
        <v>31</v>
      </c>
    </row>
    <row r="38" spans="1:21" ht="15" customHeight="1" x14ac:dyDescent="0.2">
      <c r="A38" s="45"/>
      <c r="G38" s="77" t="s">
        <v>32</v>
      </c>
      <c r="H38" s="78"/>
      <c r="I38" s="46">
        <v>38</v>
      </c>
      <c r="J38" s="46">
        <v>30</v>
      </c>
      <c r="K38" s="47">
        <v>3.4249999999999998</v>
      </c>
      <c r="L38" s="48">
        <v>0.25</v>
      </c>
      <c r="M38" s="49">
        <f>+K38*L38</f>
        <v>0.85624999999999996</v>
      </c>
      <c r="N38" s="50">
        <f>+I38*M38</f>
        <v>32.537500000000001</v>
      </c>
      <c r="O38" s="51">
        <f>(+M38/60)*J38</f>
        <v>0.42812499999999998</v>
      </c>
      <c r="P38" s="52">
        <f>+N38+O38</f>
        <v>32.965625000000003</v>
      </c>
    </row>
    <row r="39" spans="1:21" ht="15" customHeight="1" x14ac:dyDescent="0.2">
      <c r="A39" s="36"/>
      <c r="G39" s="77" t="s">
        <v>33</v>
      </c>
      <c r="H39" s="78"/>
      <c r="I39" s="46">
        <v>16</v>
      </c>
      <c r="J39" s="46">
        <v>2</v>
      </c>
      <c r="K39" s="47">
        <v>3.4249999999999998</v>
      </c>
      <c r="L39" s="48">
        <v>1.5</v>
      </c>
      <c r="M39" s="49">
        <f>+K39*L39</f>
        <v>5.1374999999999993</v>
      </c>
      <c r="N39" s="50">
        <f>+I39*M39</f>
        <v>82.199999999999989</v>
      </c>
      <c r="O39" s="51">
        <f>(+M39/60)*J39</f>
        <v>0.17124999999999999</v>
      </c>
      <c r="P39" s="52">
        <f t="shared" ref="P39:P40" si="72">+N39+O39</f>
        <v>82.371249999999989</v>
      </c>
    </row>
    <row r="40" spans="1:21" ht="15" customHeight="1" x14ac:dyDescent="0.2">
      <c r="G40" s="77" t="s">
        <v>34</v>
      </c>
      <c r="H40" s="78"/>
      <c r="I40" s="46">
        <v>74</v>
      </c>
      <c r="J40" s="46">
        <v>12</v>
      </c>
      <c r="K40" s="47">
        <v>3.4249999999999998</v>
      </c>
      <c r="L40" s="48">
        <v>2</v>
      </c>
      <c r="M40" s="49">
        <f>+K40*L40</f>
        <v>6.85</v>
      </c>
      <c r="N40" s="50">
        <f>+I40*M40</f>
        <v>506.9</v>
      </c>
      <c r="O40" s="51">
        <f>(+M40/60)*J40</f>
        <v>1.37</v>
      </c>
      <c r="P40" s="52">
        <f t="shared" si="72"/>
        <v>508.27</v>
      </c>
      <c r="R40" s="53"/>
      <c r="S40" s="53"/>
    </row>
    <row r="41" spans="1:21" ht="19.5" customHeight="1" thickBot="1" x14ac:dyDescent="0.25">
      <c r="L41" s="30" t="s">
        <v>35</v>
      </c>
      <c r="M41" s="54"/>
      <c r="N41" s="55">
        <f>SUM(N38:N40)</f>
        <v>621.63749999999993</v>
      </c>
      <c r="O41" s="56">
        <f>SUM(O38:O40)</f>
        <v>1.9693750000000001</v>
      </c>
      <c r="P41" s="57">
        <f>SUM(P38:P40)</f>
        <v>623.60687499999995</v>
      </c>
      <c r="R41" s="71" t="s">
        <v>36</v>
      </c>
      <c r="S41" s="71"/>
    </row>
    <row r="42" spans="1:21" x14ac:dyDescent="0.2">
      <c r="D42" s="58"/>
      <c r="E42" s="59"/>
    </row>
    <row r="43" spans="1:21" x14ac:dyDescent="0.2">
      <c r="D43" s="60"/>
      <c r="E43" s="59"/>
    </row>
    <row r="44" spans="1:21" x14ac:dyDescent="0.2">
      <c r="D44" s="60"/>
      <c r="E44" s="59"/>
    </row>
    <row r="45" spans="1:21" x14ac:dyDescent="0.2">
      <c r="D45" s="60"/>
      <c r="E45" s="59"/>
    </row>
    <row r="46" spans="1:21" x14ac:dyDescent="0.2">
      <c r="D46" s="60"/>
      <c r="E46" s="59"/>
      <c r="U46" s="39"/>
    </row>
    <row r="47" spans="1:21" x14ac:dyDescent="0.2">
      <c r="D47" s="60"/>
      <c r="E47" s="59"/>
    </row>
    <row r="62410" spans="2:2" x14ac:dyDescent="0.2">
      <c r="B62410" s="14">
        <f>+B62409+1</f>
        <v>1</v>
      </c>
    </row>
  </sheetData>
  <mergeCells count="15">
    <mergeCell ref="G36:H36"/>
    <mergeCell ref="G37:H37"/>
    <mergeCell ref="R41:S41"/>
    <mergeCell ref="S2:S3"/>
    <mergeCell ref="A6:A7"/>
    <mergeCell ref="B6:B7"/>
    <mergeCell ref="C6:C7"/>
    <mergeCell ref="D6:D7"/>
    <mergeCell ref="E6:E7"/>
    <mergeCell ref="F6:F7"/>
    <mergeCell ref="G6:L6"/>
    <mergeCell ref="M6:U6"/>
    <mergeCell ref="G38:H38"/>
    <mergeCell ref="G39:H39"/>
    <mergeCell ref="G40:H4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0" orientation="landscape" horizontalDpi="4294967293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3:B15"/>
  <sheetViews>
    <sheetView workbookViewId="0">
      <selection activeCell="E8" sqref="E8"/>
    </sheetView>
  </sheetViews>
  <sheetFormatPr baseColWidth="10" defaultRowHeight="12.75" x14ac:dyDescent="0.2"/>
  <sheetData>
    <row r="13" spans="2:2" x14ac:dyDescent="0.2">
      <c r="B13">
        <v>84.54</v>
      </c>
    </row>
    <row r="14" spans="2:2" x14ac:dyDescent="0.2">
      <c r="B14">
        <v>4</v>
      </c>
    </row>
    <row r="15" spans="2:2" x14ac:dyDescent="0.2">
      <c r="B15">
        <f>+B13/B14</f>
        <v>21.135000000000002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junio</vt:lpstr>
      <vt:lpstr>CALCULO 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 CASERO</cp:lastModifiedBy>
  <cp:lastPrinted>2026-06-01T14:01:25Z</cp:lastPrinted>
  <dcterms:created xsi:type="dcterms:W3CDTF">2014-07-31T15:43:21Z</dcterms:created>
  <dcterms:modified xsi:type="dcterms:W3CDTF">2026-06-18T19:10:51Z</dcterms:modified>
</cp:coreProperties>
</file>