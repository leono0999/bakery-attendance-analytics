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junio" sheetId="1" state="visible" r:id="rId1"/>
    <sheet name="CALCUL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[$-F400]h:mm:ss\ AM/PM"/>
    <numFmt numFmtId="165" formatCode="_-* #,##0.00_-;\-* #,##0.00_-;_-* &quot;-&quot;??_-;_-@_-"/>
    <numFmt numFmtId="166" formatCode="_-* #,##0.0000_-;\-* #,##0.0000_-;_-* &quot;-&quot;??_-;_-@_-"/>
    <numFmt numFmtId="167" formatCode="dd/mm/yyyy"/>
    <numFmt numFmtId="168" formatCode="hh:mm:ss"/>
  </numFmts>
  <fonts count="1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Segoe UI"/>
      <family val="2"/>
      <b val="1"/>
      <sz val="8"/>
    </font>
    <font>
      <name val="Segoe UI"/>
      <family val="2"/>
      <sz val="8"/>
    </font>
    <font>
      <name val="Tahoma"/>
      <family val="2"/>
      <sz val="8"/>
    </font>
    <font>
      <name val="Arial"/>
      <family val="2"/>
      <sz val="8"/>
    </font>
    <font>
      <name val="Malgun Gothic"/>
      <family val="2"/>
      <sz val="10"/>
    </font>
    <font>
      <name val="Malgun Gothic"/>
      <family val="2"/>
      <i val="1"/>
      <sz val="10"/>
    </font>
    <font>
      <name val="Malgun Gothic"/>
      <family val="2"/>
      <color theme="0"/>
      <sz val="10"/>
    </font>
    <font>
      <name val="Tahoma"/>
      <charset val="1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FF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43" fontId="1" fillId="0" borderId="0"/>
  </cellStyleXfs>
  <cellXfs count="10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49" fontId="5" fillId="4" borderId="0" applyAlignment="1" pivotButton="0" quotePrefix="0" xfId="0">
      <alignment horizontal="left" vertical="center"/>
    </xf>
    <xf numFmtId="22" fontId="6" fillId="0" borderId="0" applyAlignment="1" pivotButton="0" quotePrefix="0" xfId="0">
      <alignment horizontal="left"/>
    </xf>
    <xf numFmtId="0" fontId="7" fillId="2" borderId="0" pivotButton="0" quotePrefix="0" xfId="0"/>
    <xf numFmtId="0" fontId="7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21" fontId="7" fillId="2" borderId="0" pivotButton="0" quotePrefix="0" xfId="0"/>
    <xf numFmtId="21" fontId="7" fillId="2" borderId="2" applyAlignment="1" pivotButton="0" quotePrefix="0" xfId="0">
      <alignment horizontal="center"/>
    </xf>
    <xf numFmtId="0" fontId="8" fillId="2" borderId="0" pivotButton="0" quotePrefix="0" xfId="0"/>
    <xf numFmtId="164" fontId="7" fillId="2" borderId="0" pivotButton="0" quotePrefix="0" xfId="0"/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wrapText="1"/>
    </xf>
    <xf numFmtId="0" fontId="7" fillId="2" borderId="2" applyAlignment="1" pivotButton="0" quotePrefix="0" xfId="0">
      <alignment horizontal="center" wrapText="1"/>
    </xf>
    <xf numFmtId="0" fontId="7" fillId="2" borderId="2" applyAlignment="1" pivotButton="0" quotePrefix="0" xfId="1">
      <alignment horizontal="center"/>
    </xf>
    <xf numFmtId="14" fontId="7" fillId="2" borderId="2" applyAlignment="1" pivotButton="0" quotePrefix="0" xfId="1">
      <alignment horizontal="left"/>
    </xf>
    <xf numFmtId="21" fontId="7" fillId="2" borderId="2" pivotButton="0" quotePrefix="0" xfId="1"/>
    <xf numFmtId="21" fontId="7" fillId="2" borderId="2" applyAlignment="1" pivotButton="0" quotePrefix="0" xfId="1">
      <alignment horizontal="center"/>
    </xf>
    <xf numFmtId="20" fontId="7" fillId="0" borderId="2" applyAlignment="1" pivotButton="0" quotePrefix="0" xfId="0">
      <alignment horizontal="center"/>
    </xf>
    <xf numFmtId="21" fontId="7" fillId="2" borderId="1" applyAlignment="1" pivotButton="0" quotePrefix="0" xfId="0">
      <alignment horizontal="right"/>
    </xf>
    <xf numFmtId="21" fontId="7" fillId="2" borderId="2" applyAlignment="1" pivotButton="0" quotePrefix="0" xfId="0">
      <alignment horizontal="right"/>
    </xf>
    <xf numFmtId="20" fontId="7" fillId="2" borderId="12" applyAlignment="1" pivotButton="0" quotePrefix="0" xfId="0">
      <alignment horizontal="right"/>
    </xf>
    <xf numFmtId="21" fontId="7" fillId="2" borderId="1" applyAlignment="1" pivotButton="0" quotePrefix="0" xfId="0">
      <alignment horizontal="center"/>
    </xf>
    <xf numFmtId="21" fontId="7" fillId="2" borderId="2" pivotButton="0" quotePrefix="0" xfId="0"/>
    <xf numFmtId="0" fontId="7" fillId="2" borderId="2" pivotButton="0" quotePrefix="0" xfId="0"/>
    <xf numFmtId="0" fontId="7" fillId="3" borderId="2" applyAlignment="1" pivotButton="0" quotePrefix="0" xfId="1">
      <alignment horizontal="center"/>
    </xf>
    <xf numFmtId="14" fontId="7" fillId="3" borderId="2" applyAlignment="1" pivotButton="0" quotePrefix="0" xfId="1">
      <alignment horizontal="left"/>
    </xf>
    <xf numFmtId="21" fontId="7" fillId="3" borderId="2" pivotButton="0" quotePrefix="0" xfId="1"/>
    <xf numFmtId="21" fontId="7" fillId="3" borderId="2" applyAlignment="1" pivotButton="0" quotePrefix="0" xfId="1">
      <alignment horizontal="center"/>
    </xf>
    <xf numFmtId="20" fontId="7" fillId="3" borderId="2" applyAlignment="1" pivotButton="0" quotePrefix="0" xfId="0">
      <alignment horizontal="center"/>
    </xf>
    <xf numFmtId="21" fontId="7" fillId="3" borderId="1" applyAlignment="1" pivotButton="0" quotePrefix="0" xfId="0">
      <alignment horizontal="right"/>
    </xf>
    <xf numFmtId="21" fontId="7" fillId="3" borderId="2" applyAlignment="1" pivotButton="0" quotePrefix="0" xfId="0">
      <alignment horizontal="right"/>
    </xf>
    <xf numFmtId="20" fontId="7" fillId="3" borderId="12" applyAlignment="1" pivotButton="0" quotePrefix="0" xfId="0">
      <alignment horizontal="right"/>
    </xf>
    <xf numFmtId="21" fontId="7" fillId="3" borderId="1" applyAlignment="1" pivotButton="0" quotePrefix="0" xfId="0">
      <alignment horizontal="center"/>
    </xf>
    <xf numFmtId="21" fontId="7" fillId="3" borderId="2" applyAlignment="1" pivotButton="0" quotePrefix="0" xfId="0">
      <alignment horizontal="center"/>
    </xf>
    <xf numFmtId="21" fontId="7" fillId="3" borderId="2" pivotButton="0" quotePrefix="0" xfId="0"/>
    <xf numFmtId="14" fontId="7" fillId="2" borderId="0" applyAlignment="1" pivotButton="0" quotePrefix="0" xfId="1">
      <alignment horizontal="left"/>
    </xf>
    <xf numFmtId="46" fontId="7" fillId="2" borderId="13" applyAlignment="1" pivotButton="0" quotePrefix="0" xfId="0">
      <alignment horizontal="right"/>
    </xf>
    <xf numFmtId="46" fontId="7" fillId="2" borderId="14" applyAlignment="1" pivotButton="0" quotePrefix="0" xfId="0">
      <alignment horizontal="right"/>
    </xf>
    <xf numFmtId="46" fontId="7" fillId="2" borderId="15" applyAlignment="1" pivotButton="0" quotePrefix="0" xfId="0">
      <alignment horizontal="right"/>
    </xf>
    <xf numFmtId="0" fontId="7" fillId="2" borderId="1" pivotButton="0" quotePrefix="0" xfId="0"/>
    <xf numFmtId="46" fontId="7" fillId="2" borderId="2" applyAlignment="1" pivotButton="0" quotePrefix="0" xfId="0">
      <alignment horizontal="center" vertical="center"/>
    </xf>
    <xf numFmtId="46" fontId="7" fillId="2" borderId="2" applyAlignment="1" pivotButton="0" quotePrefix="0" xfId="0">
      <alignment horizontal="center"/>
    </xf>
    <xf numFmtId="46" fontId="7" fillId="2" borderId="0" applyAlignment="1" pivotButton="0" quotePrefix="0" xfId="0">
      <alignment horizontal="right"/>
    </xf>
    <xf numFmtId="46" fontId="7" fillId="2" borderId="0" applyAlignment="1" pivotButton="0" quotePrefix="0" xfId="0">
      <alignment horizontal="center" vertical="center"/>
    </xf>
    <xf numFmtId="46" fontId="7" fillId="2" borderId="0" applyAlignment="1" pivotButton="0" quotePrefix="0" xfId="0">
      <alignment horizontal="center"/>
    </xf>
    <xf numFmtId="46" fontId="7" fillId="2" borderId="0" applyAlignment="1" pivotButton="0" quotePrefix="0" xfId="0">
      <alignment horizontal="right" vertical="center"/>
    </xf>
    <xf numFmtId="46" fontId="7" fillId="2" borderId="0" pivotButton="0" quotePrefix="0" xfId="0"/>
    <xf numFmtId="49" fontId="7" fillId="2" borderId="0" pivotButton="0" quotePrefix="0" xfId="0"/>
    <xf numFmtId="0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center" vertical="center" wrapText="1"/>
    </xf>
    <xf numFmtId="0" fontId="7" fillId="2" borderId="17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center" vertical="center" wrapText="1"/>
    </xf>
    <xf numFmtId="49" fontId="7" fillId="2" borderId="0" applyAlignment="1" pivotButton="0" quotePrefix="0" xfId="0">
      <alignment horizontal="center" vertical="center"/>
    </xf>
    <xf numFmtId="2" fontId="7" fillId="2" borderId="2" pivotButton="0" quotePrefix="0" xfId="0"/>
    <xf numFmtId="165" fontId="7" fillId="2" borderId="2" pivotButton="0" quotePrefix="0" xfId="2"/>
    <xf numFmtId="165" fontId="7" fillId="2" borderId="3" pivotButton="0" quotePrefix="0" xfId="0"/>
    <xf numFmtId="2" fontId="7" fillId="2" borderId="11" pivotButton="0" quotePrefix="0" xfId="2"/>
    <xf numFmtId="2" fontId="7" fillId="2" borderId="12" pivotButton="0" quotePrefix="0" xfId="0"/>
    <xf numFmtId="0" fontId="7" fillId="2" borderId="3" pivotButton="0" quotePrefix="0" xfId="0"/>
    <xf numFmtId="2" fontId="7" fillId="2" borderId="19" pivotButton="0" quotePrefix="0" xfId="0"/>
    <xf numFmtId="2" fontId="7" fillId="2" borderId="20" pivotButton="0" quotePrefix="0" xfId="0"/>
    <xf numFmtId="166" fontId="7" fillId="2" borderId="2" pivotButton="0" quotePrefix="0" xfId="2"/>
    <xf numFmtId="0" fontId="9" fillId="2" borderId="0" applyAlignment="1" pivotButton="0" quotePrefix="0" xfId="0">
      <alignment horizontal="center"/>
    </xf>
    <xf numFmtId="21" fontId="9" fillId="2" borderId="0" applyAlignment="1" pivotButton="0" quotePrefix="0" xfId="0">
      <alignment horizontal="center" vertical="center"/>
    </xf>
    <xf numFmtId="21" fontId="9" fillId="2" borderId="0" applyAlignment="1" pivotButton="0" quotePrefix="0" xfId="0">
      <alignment horizontal="center"/>
    </xf>
    <xf numFmtId="49" fontId="10" fillId="4" borderId="21" applyAlignment="1" pivotButton="0" quotePrefix="0" xfId="0">
      <alignment horizontal="left" vertical="center"/>
    </xf>
    <xf numFmtId="0" fontId="7" fillId="2" borderId="3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2" borderId="2" applyAlignment="1" pivotButton="0" quotePrefix="0" xfId="1">
      <alignment horizontal="center" vertical="center" wrapText="1"/>
    </xf>
    <xf numFmtId="0" fontId="7" fillId="2" borderId="2" applyAlignment="1" pivotButton="0" quotePrefix="0" xfId="1">
      <alignment horizontal="left" vertical="center" wrapText="1"/>
    </xf>
    <xf numFmtId="0" fontId="7" fillId="2" borderId="3" applyAlignment="1" pivotButton="0" quotePrefix="0" xfId="1">
      <alignment horizontal="center" vertical="center" wrapText="1"/>
    </xf>
    <xf numFmtId="0" fontId="7" fillId="2" borderId="4" applyAlignment="1" pivotButton="0" quotePrefix="0" xfId="0">
      <alignment horizontal="center" wrapText="1"/>
    </xf>
    <xf numFmtId="0" fontId="7" fillId="2" borderId="5" applyAlignment="1" pivotButton="0" quotePrefix="0" xfId="0">
      <alignment horizontal="center" wrapText="1"/>
    </xf>
    <xf numFmtId="0" fontId="7" fillId="2" borderId="6" applyAlignment="1" pivotButton="0" quotePrefix="0" xfId="0">
      <alignment horizontal="center" wrapText="1"/>
    </xf>
    <xf numFmtId="0" fontId="7" fillId="2" borderId="7" applyAlignment="1" pivotButton="0" quotePrefix="0" xfId="0">
      <alignment horizontal="center"/>
    </xf>
    <xf numFmtId="0" fontId="7" fillId="2" borderId="28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26" pivotButton="0" quotePrefix="0" xfId="0"/>
    <xf numFmtId="0" fontId="0" fillId="0" borderId="27" pivotButton="0" quotePrefix="0" xfId="0"/>
    <xf numFmtId="167" fontId="7" fillId="2" borderId="2" applyAlignment="1" pivotButton="0" quotePrefix="0" xfId="1">
      <alignment horizontal="left"/>
    </xf>
    <xf numFmtId="168" fontId="7" fillId="0" borderId="2" applyAlignment="1" pivotButton="0" quotePrefix="0" xfId="0">
      <alignment horizontal="center"/>
    </xf>
    <xf numFmtId="167" fontId="7" fillId="3" borderId="2" applyAlignment="1" pivotButton="0" quotePrefix="0" xfId="1">
      <alignment horizontal="left"/>
    </xf>
    <xf numFmtId="168" fontId="7" fillId="3" borderId="2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166" fontId="7" fillId="2" borderId="2" pivotButton="0" quotePrefix="0" xfId="2"/>
    <xf numFmtId="165" fontId="7" fillId="2" borderId="2" pivotButton="0" quotePrefix="0" xfId="2"/>
    <xf numFmtId="165" fontId="7" fillId="2" borderId="3" pivotButton="0" quotePrefix="0" xfId="0"/>
  </cellXfs>
  <cellStyles count="3">
    <cellStyle name="Normal" xfId="0" builtinId="0"/>
    <cellStyle name="Normal 2" xfId="1"/>
    <cellStyle name="Millares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workbookViewId="0">
      <selection activeCell="E12" sqref="E12"/>
    </sheetView>
  </sheetViews>
  <sheetFormatPr baseColWidth="10" defaultRowHeight="10.5"/>
  <cols>
    <col width="9.28515625" customWidth="1" style="2" min="1" max="1"/>
    <col width="13.85546875" customWidth="1" style="2" min="2" max="2"/>
    <col width="19.28515625" customWidth="1" style="2" min="3" max="3"/>
    <col width="20.85546875" customWidth="1" style="2" min="4" max="4"/>
    <col width="11.42578125" customWidth="1" style="2" min="5" max="234"/>
    <col width="20" customWidth="1" style="2" min="235" max="235"/>
    <col width="11.42578125" customWidth="1" style="2" min="236" max="490"/>
    <col width="20" customWidth="1" style="2" min="491" max="491"/>
    <col width="11.42578125" customWidth="1" style="2" min="492" max="746"/>
    <col width="20" customWidth="1" style="2" min="747" max="747"/>
    <col width="11.42578125" customWidth="1" style="2" min="748" max="1002"/>
    <col width="20" customWidth="1" style="2" min="1003" max="1003"/>
    <col width="11.42578125" customWidth="1" style="2" min="1004" max="1258"/>
    <col width="20" customWidth="1" style="2" min="1259" max="1259"/>
    <col width="11.42578125" customWidth="1" style="2" min="1260" max="1514"/>
    <col width="20" customWidth="1" style="2" min="1515" max="1515"/>
    <col width="11.42578125" customWidth="1" style="2" min="1516" max="1770"/>
    <col width="20" customWidth="1" style="2" min="1771" max="1771"/>
    <col width="11.42578125" customWidth="1" style="2" min="1772" max="2026"/>
    <col width="20" customWidth="1" style="2" min="2027" max="2027"/>
    <col width="11.42578125" customWidth="1" style="2" min="2028" max="2282"/>
    <col width="20" customWidth="1" style="2" min="2283" max="2283"/>
    <col width="11.42578125" customWidth="1" style="2" min="2284" max="2538"/>
    <col width="20" customWidth="1" style="2" min="2539" max="2539"/>
    <col width="11.42578125" customWidth="1" style="2" min="2540" max="2794"/>
    <col width="20" customWidth="1" style="2" min="2795" max="2795"/>
    <col width="11.42578125" customWidth="1" style="2" min="2796" max="3050"/>
    <col width="20" customWidth="1" style="2" min="3051" max="3051"/>
    <col width="11.42578125" customWidth="1" style="2" min="3052" max="3306"/>
    <col width="20" customWidth="1" style="2" min="3307" max="3307"/>
    <col width="11.42578125" customWidth="1" style="2" min="3308" max="3562"/>
    <col width="20" customWidth="1" style="2" min="3563" max="3563"/>
    <col width="11.42578125" customWidth="1" style="2" min="3564" max="3818"/>
    <col width="20" customWidth="1" style="2" min="3819" max="3819"/>
    <col width="11.42578125" customWidth="1" style="2" min="3820" max="4074"/>
    <col width="20" customWidth="1" style="2" min="4075" max="4075"/>
    <col width="11.42578125" customWidth="1" style="2" min="4076" max="4330"/>
    <col width="20" customWidth="1" style="2" min="4331" max="4331"/>
    <col width="11.42578125" customWidth="1" style="2" min="4332" max="4586"/>
    <col width="20" customWidth="1" style="2" min="4587" max="4587"/>
    <col width="11.42578125" customWidth="1" style="2" min="4588" max="4842"/>
    <col width="20" customWidth="1" style="2" min="4843" max="4843"/>
    <col width="11.42578125" customWidth="1" style="2" min="4844" max="5098"/>
    <col width="20" customWidth="1" style="2" min="5099" max="5099"/>
    <col width="11.42578125" customWidth="1" style="2" min="5100" max="5354"/>
    <col width="20" customWidth="1" style="2" min="5355" max="5355"/>
    <col width="11.42578125" customWidth="1" style="2" min="5356" max="5610"/>
    <col width="20" customWidth="1" style="2" min="5611" max="5611"/>
    <col width="11.42578125" customWidth="1" style="2" min="5612" max="5866"/>
    <col width="20" customWidth="1" style="2" min="5867" max="5867"/>
    <col width="11.42578125" customWidth="1" style="2" min="5868" max="6122"/>
    <col width="20" customWidth="1" style="2" min="6123" max="6123"/>
    <col width="11.42578125" customWidth="1" style="2" min="6124" max="6378"/>
    <col width="20" customWidth="1" style="2" min="6379" max="6379"/>
    <col width="11.42578125" customWidth="1" style="2" min="6380" max="6634"/>
    <col width="20" customWidth="1" style="2" min="6635" max="6635"/>
    <col width="11.42578125" customWidth="1" style="2" min="6636" max="6890"/>
    <col width="20" customWidth="1" style="2" min="6891" max="6891"/>
    <col width="11.42578125" customWidth="1" style="2" min="6892" max="7146"/>
    <col width="20" customWidth="1" style="2" min="7147" max="7147"/>
    <col width="11.42578125" customWidth="1" style="2" min="7148" max="7402"/>
    <col width="20" customWidth="1" style="2" min="7403" max="7403"/>
    <col width="11.42578125" customWidth="1" style="2" min="7404" max="7658"/>
    <col width="20" customWidth="1" style="2" min="7659" max="7659"/>
    <col width="11.42578125" customWidth="1" style="2" min="7660" max="7914"/>
    <col width="20" customWidth="1" style="2" min="7915" max="7915"/>
    <col width="11.42578125" customWidth="1" style="2" min="7916" max="8170"/>
    <col width="20" customWidth="1" style="2" min="8171" max="8171"/>
    <col width="11.42578125" customWidth="1" style="2" min="8172" max="8426"/>
    <col width="20" customWidth="1" style="2" min="8427" max="8427"/>
    <col width="11.42578125" customWidth="1" style="2" min="8428" max="8682"/>
    <col width="20" customWidth="1" style="2" min="8683" max="8683"/>
    <col width="11.42578125" customWidth="1" style="2" min="8684" max="8938"/>
    <col width="20" customWidth="1" style="2" min="8939" max="8939"/>
    <col width="11.42578125" customWidth="1" style="2" min="8940" max="9194"/>
    <col width="20" customWidth="1" style="2" min="9195" max="9195"/>
    <col width="11.42578125" customWidth="1" style="2" min="9196" max="9450"/>
    <col width="20" customWidth="1" style="2" min="9451" max="9451"/>
    <col width="11.42578125" customWidth="1" style="2" min="9452" max="9706"/>
    <col width="20" customWidth="1" style="2" min="9707" max="9707"/>
    <col width="11.42578125" customWidth="1" style="2" min="9708" max="9962"/>
    <col width="20" customWidth="1" style="2" min="9963" max="9963"/>
    <col width="11.42578125" customWidth="1" style="2" min="9964" max="10218"/>
    <col width="20" customWidth="1" style="2" min="10219" max="10219"/>
    <col width="11.42578125" customWidth="1" style="2" min="10220" max="10474"/>
    <col width="20" customWidth="1" style="2" min="10475" max="10475"/>
    <col width="11.42578125" customWidth="1" style="2" min="10476" max="10730"/>
    <col width="20" customWidth="1" style="2" min="10731" max="10731"/>
    <col width="11.42578125" customWidth="1" style="2" min="10732" max="10986"/>
    <col width="20" customWidth="1" style="2" min="10987" max="10987"/>
    <col width="11.42578125" customWidth="1" style="2" min="10988" max="11242"/>
    <col width="20" customWidth="1" style="2" min="11243" max="11243"/>
    <col width="11.42578125" customWidth="1" style="2" min="11244" max="11498"/>
    <col width="20" customWidth="1" style="2" min="11499" max="11499"/>
    <col width="11.42578125" customWidth="1" style="2" min="11500" max="11754"/>
    <col width="20" customWidth="1" style="2" min="11755" max="11755"/>
    <col width="11.42578125" customWidth="1" style="2" min="11756" max="12010"/>
    <col width="20" customWidth="1" style="2" min="12011" max="12011"/>
    <col width="11.42578125" customWidth="1" style="2" min="12012" max="12266"/>
    <col width="20" customWidth="1" style="2" min="12267" max="12267"/>
    <col width="11.42578125" customWidth="1" style="2" min="12268" max="12522"/>
    <col width="20" customWidth="1" style="2" min="12523" max="12523"/>
    <col width="11.42578125" customWidth="1" style="2" min="12524" max="12778"/>
    <col width="20" customWidth="1" style="2" min="12779" max="12779"/>
    <col width="11.42578125" customWidth="1" style="2" min="12780" max="13034"/>
    <col width="20" customWidth="1" style="2" min="13035" max="13035"/>
    <col width="11.42578125" customWidth="1" style="2" min="13036" max="13290"/>
    <col width="20" customWidth="1" style="2" min="13291" max="13291"/>
    <col width="11.42578125" customWidth="1" style="2" min="13292" max="13546"/>
    <col width="20" customWidth="1" style="2" min="13547" max="13547"/>
    <col width="11.42578125" customWidth="1" style="2" min="13548" max="13802"/>
    <col width="20" customWidth="1" style="2" min="13803" max="13803"/>
    <col width="11.42578125" customWidth="1" style="2" min="13804" max="14058"/>
    <col width="20" customWidth="1" style="2" min="14059" max="14059"/>
    <col width="11.42578125" customWidth="1" style="2" min="14060" max="14314"/>
    <col width="20" customWidth="1" style="2" min="14315" max="14315"/>
    <col width="11.42578125" customWidth="1" style="2" min="14316" max="14570"/>
    <col width="20" customWidth="1" style="2" min="14571" max="14571"/>
    <col width="11.42578125" customWidth="1" style="2" min="14572" max="14826"/>
    <col width="20" customWidth="1" style="2" min="14827" max="14827"/>
    <col width="11.42578125" customWidth="1" style="2" min="14828" max="15082"/>
    <col width="20" customWidth="1" style="2" min="15083" max="15083"/>
    <col width="11.42578125" customWidth="1" style="2" min="15084" max="15338"/>
    <col width="20" customWidth="1" style="2" min="15339" max="15339"/>
    <col width="11.42578125" customWidth="1" style="2" min="15340" max="15594"/>
    <col width="20" customWidth="1" style="2" min="15595" max="15595"/>
    <col width="11.42578125" customWidth="1" style="2" min="15596" max="15850"/>
    <col width="20" customWidth="1" style="2" min="15851" max="15851"/>
    <col width="11.42578125" customWidth="1" style="2" min="15852" max="16106"/>
    <col width="20" customWidth="1" style="2" min="16107" max="16107"/>
    <col width="11.42578125" customWidth="1" style="2" min="16108" max="16384"/>
  </cols>
  <sheetData>
    <row r="1">
      <c r="A1" s="1" t="inlineStr">
        <is>
          <t>AC-No.</t>
        </is>
      </c>
      <c r="B1" s="1" t="inlineStr">
        <is>
          <t>IMSS/CURP</t>
        </is>
      </c>
      <c r="C1" s="1" t="inlineStr">
        <is>
          <t>Nombre</t>
        </is>
      </c>
      <c r="D1" s="1" t="inlineStr">
        <is>
          <t>Fecha y hora</t>
        </is>
      </c>
    </row>
    <row r="2" ht="18.75" customHeight="1">
      <c r="A2" s="73" t="inlineStr">
        <is>
          <t>9</t>
        </is>
      </c>
      <c r="B2" s="73" t="inlineStr">
        <is>
          <t>INES OÑA</t>
        </is>
      </c>
      <c r="C2" s="73" t="inlineStr">
        <is>
          <t>01/06/2026 06:16:32</t>
        </is>
      </c>
      <c r="D2" s="3" t="n"/>
    </row>
    <row r="3" ht="18.75" customHeight="1">
      <c r="A3" s="73" t="inlineStr">
        <is>
          <t>9</t>
        </is>
      </c>
      <c r="B3" s="73" t="inlineStr">
        <is>
          <t>INES OÑA</t>
        </is>
      </c>
      <c r="C3" s="73" t="inlineStr">
        <is>
          <t>01/06/2026 15:18:24</t>
        </is>
      </c>
      <c r="D3" s="3" t="n"/>
    </row>
    <row r="4" ht="18.75" customHeight="1">
      <c r="A4" s="73" t="inlineStr">
        <is>
          <t>9</t>
        </is>
      </c>
      <c r="B4" s="73" t="inlineStr">
        <is>
          <t>INES OÑA</t>
        </is>
      </c>
      <c r="C4" s="73" t="inlineStr">
        <is>
          <t>02/06/2026 06:19:14</t>
        </is>
      </c>
      <c r="D4" s="3" t="n"/>
    </row>
    <row r="5" ht="18.75" customHeight="1">
      <c r="A5" s="73" t="inlineStr">
        <is>
          <t>9</t>
        </is>
      </c>
      <c r="B5" s="73" t="inlineStr">
        <is>
          <t>INES OÑA</t>
        </is>
      </c>
      <c r="C5" s="73" t="inlineStr">
        <is>
          <t>02/06/2026 14:31:44</t>
        </is>
      </c>
      <c r="D5" s="3" t="n"/>
    </row>
    <row r="6" ht="18.75" customHeight="1">
      <c r="A6" s="73" t="inlineStr">
        <is>
          <t>9</t>
        </is>
      </c>
      <c r="B6" s="73" t="inlineStr">
        <is>
          <t>INES OÑA</t>
        </is>
      </c>
      <c r="C6" s="73" t="inlineStr">
        <is>
          <t>03/06/2026 06:12:58</t>
        </is>
      </c>
      <c r="D6" s="3" t="n"/>
    </row>
    <row r="7" ht="18.75" customHeight="1">
      <c r="A7" s="73" t="inlineStr">
        <is>
          <t>9</t>
        </is>
      </c>
      <c r="B7" s="73" t="inlineStr">
        <is>
          <t>INES OÑA</t>
        </is>
      </c>
      <c r="C7" s="73" t="inlineStr">
        <is>
          <t>03/06/2026 14:35:55</t>
        </is>
      </c>
      <c r="D7" s="3" t="n"/>
    </row>
    <row r="8" ht="18.75" customHeight="1">
      <c r="A8" s="73" t="inlineStr">
        <is>
          <t>9</t>
        </is>
      </c>
      <c r="B8" s="73" t="inlineStr">
        <is>
          <t>INES OÑA</t>
        </is>
      </c>
      <c r="C8" s="73" t="inlineStr">
        <is>
          <t>04/06/2026 06:17:45</t>
        </is>
      </c>
      <c r="D8" s="3" t="n"/>
    </row>
    <row r="9" ht="18.75" customHeight="1">
      <c r="A9" s="73" t="inlineStr">
        <is>
          <t>9</t>
        </is>
      </c>
      <c r="B9" s="73" t="inlineStr">
        <is>
          <t>INES OÑA</t>
        </is>
      </c>
      <c r="C9" s="73" t="inlineStr">
        <is>
          <t>04/06/2026 15:47:13</t>
        </is>
      </c>
      <c r="D9" s="3" t="n"/>
    </row>
    <row r="10" ht="18.75" customHeight="1">
      <c r="A10" s="73" t="inlineStr">
        <is>
          <t>9</t>
        </is>
      </c>
      <c r="B10" s="73" t="inlineStr">
        <is>
          <t>INES OÑA</t>
        </is>
      </c>
      <c r="C10" s="73" t="inlineStr">
        <is>
          <t>05/06/2026 06:14:27</t>
        </is>
      </c>
      <c r="D10" s="3" t="n"/>
    </row>
    <row r="11" ht="18.75" customHeight="1">
      <c r="A11" s="73" t="inlineStr">
        <is>
          <t>9</t>
        </is>
      </c>
      <c r="B11" s="73" t="inlineStr">
        <is>
          <t>INES OÑA</t>
        </is>
      </c>
      <c r="C11" s="73" t="inlineStr">
        <is>
          <t>05/06/2026 15:28:04</t>
        </is>
      </c>
      <c r="D11" s="3" t="n"/>
    </row>
    <row r="12" ht="18.75" customHeight="1">
      <c r="A12" s="73" t="inlineStr">
        <is>
          <t>9</t>
        </is>
      </c>
      <c r="B12" s="73" t="inlineStr">
        <is>
          <t>INES OÑA</t>
        </is>
      </c>
      <c r="C12" s="73" t="inlineStr">
        <is>
          <t>06/06/2026 06:23:24</t>
        </is>
      </c>
      <c r="D12" s="3" t="n"/>
    </row>
    <row r="13" ht="18.75" customHeight="1">
      <c r="A13" s="73" t="inlineStr">
        <is>
          <t>9</t>
        </is>
      </c>
      <c r="B13" s="73" t="inlineStr">
        <is>
          <t>INES OÑA</t>
        </is>
      </c>
      <c r="C13" s="73" t="inlineStr">
        <is>
          <t>06/06/2026 14:09:02</t>
        </is>
      </c>
      <c r="D13" s="3" t="n"/>
    </row>
    <row r="14" ht="18.75" customHeight="1">
      <c r="A14" s="73" t="inlineStr">
        <is>
          <t>9</t>
        </is>
      </c>
      <c r="B14" s="73" t="inlineStr">
        <is>
          <t>INES OÑA</t>
        </is>
      </c>
      <c r="C14" s="73" t="inlineStr">
        <is>
          <t>08/06/2026 06:18:46</t>
        </is>
      </c>
      <c r="D14" s="3" t="n"/>
    </row>
    <row r="15" ht="18.75" customHeight="1">
      <c r="A15" s="73" t="inlineStr">
        <is>
          <t>9</t>
        </is>
      </c>
      <c r="B15" s="73" t="inlineStr">
        <is>
          <t>INES OÑA</t>
        </is>
      </c>
      <c r="C15" s="73" t="inlineStr">
        <is>
          <t>08/06/2026 15:15:13</t>
        </is>
      </c>
      <c r="D15" s="3" t="n"/>
    </row>
    <row r="16" ht="18.75" customHeight="1">
      <c r="A16" s="73" t="inlineStr">
        <is>
          <t>9</t>
        </is>
      </c>
      <c r="B16" s="73" t="inlineStr">
        <is>
          <t>INES OÑA</t>
        </is>
      </c>
      <c r="C16" s="73" t="inlineStr">
        <is>
          <t>09/06/2026 06:17:55</t>
        </is>
      </c>
      <c r="D16" s="3" t="n"/>
    </row>
    <row r="17" ht="18.75" customHeight="1">
      <c r="A17" s="73" t="inlineStr">
        <is>
          <t>9</t>
        </is>
      </c>
      <c r="B17" s="73" t="inlineStr">
        <is>
          <t>INES OÑA</t>
        </is>
      </c>
      <c r="C17" s="73" t="inlineStr">
        <is>
          <t>09/06/2026 15:31:38</t>
        </is>
      </c>
      <c r="D17" s="3" t="n"/>
    </row>
    <row r="18" ht="18.75" customHeight="1">
      <c r="A18" s="73" t="inlineStr">
        <is>
          <t>9</t>
        </is>
      </c>
      <c r="B18" s="73" t="inlineStr">
        <is>
          <t>INES OÑA</t>
        </is>
      </c>
      <c r="C18" s="73" t="inlineStr">
        <is>
          <t>10/06/2026 06:16:42</t>
        </is>
      </c>
      <c r="D18" s="3" t="n"/>
    </row>
    <row r="19" ht="18.75" customHeight="1">
      <c r="A19" s="73" t="inlineStr">
        <is>
          <t>9</t>
        </is>
      </c>
      <c r="B19" s="73" t="inlineStr">
        <is>
          <t>INES OÑA</t>
        </is>
      </c>
      <c r="C19" s="73" t="inlineStr">
        <is>
          <t>10/06/2026 14:37:06</t>
        </is>
      </c>
      <c r="D19" s="3" t="n"/>
    </row>
    <row r="20" ht="18.75" customHeight="1">
      <c r="A20" s="73" t="inlineStr">
        <is>
          <t>9</t>
        </is>
      </c>
      <c r="B20" s="73" t="inlineStr">
        <is>
          <t>INES OÑA</t>
        </is>
      </c>
      <c r="C20" s="73" t="inlineStr">
        <is>
          <t>11/06/2026 06:16:58</t>
        </is>
      </c>
      <c r="D20" s="3" t="n"/>
    </row>
    <row r="21" ht="18.75" customHeight="1">
      <c r="A21" s="73" t="inlineStr">
        <is>
          <t>9</t>
        </is>
      </c>
      <c r="B21" s="73" t="inlineStr">
        <is>
          <t>INES OÑA</t>
        </is>
      </c>
      <c r="C21" s="73" t="inlineStr">
        <is>
          <t>11/06/2026 15:40:22</t>
        </is>
      </c>
      <c r="D21" s="3" t="n"/>
    </row>
    <row r="22" ht="18.75" customHeight="1">
      <c r="A22" s="73" t="inlineStr">
        <is>
          <t>9</t>
        </is>
      </c>
      <c r="B22" s="73" t="inlineStr">
        <is>
          <t>INES OÑA</t>
        </is>
      </c>
      <c r="C22" s="73" t="inlineStr">
        <is>
          <t>12/06/2026 06:18:24</t>
        </is>
      </c>
      <c r="D22" s="3" t="n"/>
    </row>
    <row r="23" ht="18.75" customHeight="1">
      <c r="A23" s="73" t="inlineStr">
        <is>
          <t>9</t>
        </is>
      </c>
      <c r="B23" s="73" t="inlineStr">
        <is>
          <t>INES OÑA</t>
        </is>
      </c>
      <c r="C23" s="73" t="inlineStr">
        <is>
          <t>12/06/2026 15:51:12</t>
        </is>
      </c>
      <c r="D23" s="3" t="n"/>
    </row>
    <row r="24" ht="18.75" customHeight="1">
      <c r="A24" s="73" t="inlineStr">
        <is>
          <t>9</t>
        </is>
      </c>
      <c r="B24" s="73" t="inlineStr">
        <is>
          <t>INES OÑA</t>
        </is>
      </c>
      <c r="C24" s="73" t="inlineStr">
        <is>
          <t>13/06/2026 06:18:23</t>
        </is>
      </c>
      <c r="D24" s="3" t="n"/>
    </row>
    <row r="25" ht="18.75" customHeight="1">
      <c r="A25" s="73" t="inlineStr">
        <is>
          <t>9</t>
        </is>
      </c>
      <c r="B25" s="73" t="inlineStr">
        <is>
          <t>INES OÑA</t>
        </is>
      </c>
      <c r="C25" s="73" t="inlineStr">
        <is>
          <t>13/06/2026 14:19:16</t>
        </is>
      </c>
      <c r="D25" s="3" t="n"/>
    </row>
    <row r="26" ht="18.75" customHeight="1">
      <c r="A26" s="73" t="inlineStr">
        <is>
          <t>9</t>
        </is>
      </c>
      <c r="B26" s="73" t="inlineStr">
        <is>
          <t>INES OÑA</t>
        </is>
      </c>
      <c r="C26" s="73" t="inlineStr">
        <is>
          <t>15/06/2026 06:14:54</t>
        </is>
      </c>
      <c r="D26" s="3" t="n"/>
    </row>
    <row r="27" ht="18.75" customHeight="1">
      <c r="A27" s="73" t="inlineStr">
        <is>
          <t>9</t>
        </is>
      </c>
      <c r="B27" s="73" t="inlineStr">
        <is>
          <t>INES OÑA</t>
        </is>
      </c>
      <c r="C27" s="73" t="inlineStr">
        <is>
          <t>15/06/2026 14:37:08</t>
        </is>
      </c>
      <c r="D27" s="3" t="n"/>
    </row>
    <row r="28" ht="18.75" customHeight="1">
      <c r="A28" s="73" t="inlineStr">
        <is>
          <t>9</t>
        </is>
      </c>
      <c r="B28" s="73" t="inlineStr">
        <is>
          <t>INES OÑA</t>
        </is>
      </c>
      <c r="C28" s="73" t="inlineStr">
        <is>
          <t>16/06/2026 06:17:01</t>
        </is>
      </c>
      <c r="D28" s="3" t="n"/>
    </row>
    <row r="29" ht="18.75" customHeight="1">
      <c r="A29" s="73" t="inlineStr">
        <is>
          <t>9</t>
        </is>
      </c>
      <c r="B29" s="73" t="inlineStr">
        <is>
          <t>INES OÑA</t>
        </is>
      </c>
      <c r="C29" s="73" t="inlineStr">
        <is>
          <t>16/06/2026 15:40:51</t>
        </is>
      </c>
      <c r="D29" s="3" t="n"/>
    </row>
    <row r="30" ht="18.75" customHeight="1">
      <c r="A30" s="73" t="inlineStr">
        <is>
          <t>9</t>
        </is>
      </c>
      <c r="B30" s="73" t="inlineStr">
        <is>
          <t>INES OÑA</t>
        </is>
      </c>
      <c r="C30" s="73" t="inlineStr">
        <is>
          <t>17/06/2026 06:18:16</t>
        </is>
      </c>
      <c r="D30" s="3" t="n"/>
    </row>
    <row r="31" ht="18.75" customHeight="1">
      <c r="A31" s="73" t="inlineStr">
        <is>
          <t>9</t>
        </is>
      </c>
      <c r="B31" s="73" t="inlineStr">
        <is>
          <t>INES OÑA</t>
        </is>
      </c>
      <c r="C31" s="73" t="inlineStr">
        <is>
          <t>17/06/2026 15:33:19</t>
        </is>
      </c>
      <c r="D31" s="3" t="n"/>
    </row>
    <row r="32" ht="18.75" customHeight="1">
      <c r="A32" s="73" t="inlineStr">
        <is>
          <t>9</t>
        </is>
      </c>
      <c r="B32" s="73" t="inlineStr">
        <is>
          <t>INES OÑA</t>
        </is>
      </c>
      <c r="C32" s="73" t="inlineStr">
        <is>
          <t>18/06/2026 06:19:07</t>
        </is>
      </c>
      <c r="D32" s="3" t="n"/>
    </row>
    <row r="33" ht="18.75" customHeight="1">
      <c r="A33" s="73" t="n"/>
      <c r="B33" s="73" t="n"/>
      <c r="C33" s="73" t="n"/>
      <c r="D33" s="3" t="n"/>
    </row>
    <row r="34" ht="18.75" customHeight="1">
      <c r="A34" s="73" t="n"/>
      <c r="B34" s="73" t="n"/>
      <c r="C34" s="73" t="n"/>
      <c r="D34" s="3" t="n"/>
    </row>
    <row r="35" ht="18.75" customHeight="1">
      <c r="A35" s="73" t="n"/>
      <c r="B35" s="73" t="n"/>
      <c r="C35" s="73" t="n"/>
      <c r="D35" s="3" t="n"/>
    </row>
    <row r="36" ht="18.75" customHeight="1">
      <c r="A36" s="73" t="n"/>
      <c r="B36" s="73" t="n"/>
      <c r="C36" s="73" t="n"/>
      <c r="D36" s="3" t="n"/>
    </row>
    <row r="37" ht="18.75" customHeight="1">
      <c r="A37" s="73" t="n"/>
      <c r="B37" s="73" t="n"/>
      <c r="C37" s="73" t="n"/>
      <c r="D37" s="3" t="n"/>
    </row>
    <row r="38" ht="18.75" customHeight="1">
      <c r="A38" s="73" t="n"/>
      <c r="B38" s="73" t="n"/>
      <c r="C38" s="73" t="n"/>
      <c r="D38" s="3" t="n"/>
    </row>
    <row r="39" ht="18.75" customHeight="1">
      <c r="A39" s="73" t="n"/>
      <c r="B39" s="73" t="n"/>
      <c r="C39" s="73" t="n"/>
      <c r="D39" s="3" t="n"/>
    </row>
    <row r="40" ht="18.75" customHeight="1">
      <c r="A40" s="73" t="n"/>
      <c r="B40" s="73" t="n"/>
      <c r="C40" s="73" t="n"/>
      <c r="D40" s="3" t="n"/>
    </row>
    <row r="41" ht="18.75" customHeight="1">
      <c r="A41" s="73" t="n"/>
      <c r="B41" s="73" t="n"/>
      <c r="C41" s="73" t="n"/>
      <c r="D41" s="3" t="n"/>
    </row>
    <row r="42" ht="18" customHeight="1">
      <c r="A42" s="73" t="n"/>
      <c r="B42" s="73" t="n"/>
      <c r="C42" s="73" t="n"/>
      <c r="D42" s="3" t="n"/>
    </row>
    <row r="43" ht="18" customHeight="1">
      <c r="A43" s="73" t="n"/>
      <c r="B43" s="73" t="n"/>
      <c r="C43" s="73" t="n"/>
      <c r="D43" s="3" t="n"/>
    </row>
    <row r="44" ht="18" customHeight="1">
      <c r="A44" s="73" t="n"/>
      <c r="B44" s="73" t="n"/>
      <c r="C44" s="73" t="n"/>
      <c r="D44" s="3" t="n"/>
    </row>
    <row r="45" ht="18" customHeight="1">
      <c r="A45" s="73" t="n"/>
      <c r="B45" s="73" t="n"/>
      <c r="C45" s="73" t="n"/>
      <c r="D45" s="3" t="n"/>
    </row>
    <row r="46" ht="18" customHeight="1">
      <c r="A46" s="73" t="n"/>
      <c r="B46" s="73" t="n"/>
      <c r="C46" s="73" t="n"/>
      <c r="D46" s="3" t="n"/>
    </row>
    <row r="47" ht="18" customHeight="1">
      <c r="A47" s="73" t="n"/>
      <c r="B47" s="73" t="n"/>
      <c r="C47" s="73" t="n"/>
      <c r="D47" s="3" t="n"/>
    </row>
    <row r="48" ht="18" customHeight="1">
      <c r="A48" s="73" t="n"/>
      <c r="B48" s="73" t="n"/>
      <c r="C48" s="73" t="n"/>
      <c r="D48" s="3" t="n"/>
    </row>
    <row r="49" ht="18" customHeight="1">
      <c r="A49" s="73" t="n"/>
      <c r="B49" s="73" t="n"/>
      <c r="C49" s="73" t="n"/>
      <c r="D49" s="3" t="n"/>
    </row>
    <row r="50" ht="18" customHeight="1">
      <c r="A50" s="73" t="n"/>
      <c r="B50" s="73" t="n"/>
      <c r="C50" s="73" t="n"/>
      <c r="D50" s="3" t="n"/>
    </row>
    <row r="51" ht="18.75" customHeight="1">
      <c r="A51" s="73" t="n"/>
      <c r="B51" s="73" t="n"/>
      <c r="C51" s="73" t="n"/>
      <c r="D51" s="3" t="n"/>
    </row>
    <row r="52" ht="18.75" customHeight="1">
      <c r="A52" s="73" t="n"/>
      <c r="B52" s="73" t="n"/>
      <c r="C52" s="73" t="n"/>
      <c r="D52" s="3" t="n"/>
    </row>
    <row r="53" ht="18.75" customHeight="1">
      <c r="A53" s="73" t="n"/>
      <c r="B53" s="73" t="n"/>
      <c r="C53" s="73" t="n"/>
      <c r="D53" s="3" t="n"/>
    </row>
    <row r="54" ht="15.75" customHeight="1">
      <c r="A54" s="4" t="n"/>
      <c r="B54" s="4" t="n"/>
      <c r="C54" s="4" t="n"/>
      <c r="D54" s="5" t="n"/>
    </row>
    <row r="55" ht="15.75" customHeight="1">
      <c r="A55" s="4" t="n"/>
      <c r="B55" s="4" t="n"/>
      <c r="C55" s="4" t="n"/>
      <c r="D55" s="5" t="n"/>
    </row>
    <row r="56" ht="11.25" customHeight="1">
      <c r="A56" s="3" t="n"/>
      <c r="B56" s="3" t="n"/>
      <c r="C56" s="3" t="n"/>
      <c r="D56" s="5" t="n"/>
    </row>
  </sheetData>
  <pageMargins left="0.2362204724409449" right="0.2362204724409449" top="0" bottom="0.7480314960629921" header="0.3149606299212598" footer="0.3149606299212598"/>
  <pageSetup orientation="portrait" scale="71" horizontalDpi="4294967293" verticalDpi="7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4"/>
  <sheetViews>
    <sheetView tabSelected="1" topLeftCell="A14" workbookViewId="0">
      <selection activeCell="F26" sqref="F26"/>
    </sheetView>
  </sheetViews>
  <sheetFormatPr baseColWidth="10" defaultRowHeight="13.5"/>
  <cols>
    <col width="6.7109375" customWidth="1" style="6" min="1" max="1"/>
    <col width="13.5703125" customWidth="1" style="7" min="2" max="2"/>
    <col width="10.42578125" customWidth="1" style="6" min="3" max="3"/>
    <col width="10" customWidth="1" style="8" min="4" max="4"/>
    <col width="8.85546875" customWidth="1" style="9" min="5" max="5"/>
    <col width="8.7109375" customWidth="1" style="9" min="6" max="6"/>
    <col width="10.28515625" customWidth="1" style="6" min="7" max="7"/>
    <col width="10" customWidth="1" style="6" min="8" max="8"/>
    <col width="10.140625" customWidth="1" style="6" min="9" max="9"/>
    <col width="11.42578125" customWidth="1" style="6" min="10" max="11"/>
    <col width="10" customWidth="1" style="6" min="12" max="12"/>
    <col width="10.5703125" customWidth="1" style="6" min="13" max="13"/>
    <col width="10.28515625" customWidth="1" style="6" min="14" max="14"/>
    <col width="10.5703125" customWidth="1" style="6" min="15" max="15"/>
    <col width="10.85546875" customWidth="1" style="6" min="16" max="16"/>
    <col width="14" customWidth="1" style="6" min="17" max="17"/>
    <col width="13.28515625" customWidth="1" style="6" min="18" max="18"/>
    <col width="7.7109375" customWidth="1" style="6" min="19" max="19"/>
    <col width="11.42578125" customWidth="1" style="6" min="20" max="16384"/>
  </cols>
  <sheetData>
    <row r="1">
      <c r="A1" s="6" t="inlineStr">
        <is>
          <t>ZAIDA DIDONATO</t>
        </is>
      </c>
    </row>
    <row r="2">
      <c r="A2" s="6" t="inlineStr">
        <is>
          <t>REPORTES DE HORAS RELOJ junio 2026</t>
        </is>
      </c>
      <c r="K2" s="10" t="n"/>
      <c r="L2" s="10" t="n"/>
      <c r="M2" s="10" t="n"/>
      <c r="N2" s="10" t="n"/>
      <c r="O2" s="10" t="n"/>
      <c r="P2" s="77" t="inlineStr">
        <is>
          <t>HORARIO</t>
        </is>
      </c>
      <c r="Q2" s="70" t="inlineStr">
        <is>
          <t>ENTRADA</t>
        </is>
      </c>
      <c r="R2" s="70" t="inlineStr">
        <is>
          <t>SALIDA</t>
        </is>
      </c>
    </row>
    <row r="3">
      <c r="A3" s="6" t="inlineStr">
        <is>
          <t>INES OÑA</t>
        </is>
      </c>
      <c r="K3" s="10" t="n"/>
      <c r="L3" s="10" t="n"/>
      <c r="M3" s="10" t="n"/>
      <c r="N3" s="10" t="n"/>
      <c r="Q3" s="71" t="n">
        <v>0.2916666666666667</v>
      </c>
      <c r="R3" s="72" t="n">
        <v>0.625</v>
      </c>
    </row>
    <row r="4">
      <c r="A4" s="12" t="n"/>
      <c r="K4" s="10" t="n"/>
      <c r="L4" s="10" t="n"/>
      <c r="M4" s="10" t="n"/>
      <c r="N4" s="10" t="n"/>
      <c r="P4" s="13" t="n"/>
    </row>
    <row r="5" ht="15.75" customHeight="1" thickBot="1">
      <c r="A5" s="12" t="n"/>
    </row>
    <row r="6" ht="12.75" customHeight="1" thickBot="1">
      <c r="A6" s="78" t="inlineStr">
        <is>
          <t>Emp No.</t>
        </is>
      </c>
      <c r="B6" s="79" t="inlineStr">
        <is>
          <t>Fecha</t>
        </is>
      </c>
      <c r="C6" s="78" t="inlineStr">
        <is>
          <t>Entrada</t>
        </is>
      </c>
      <c r="D6" s="78" t="inlineStr">
        <is>
          <t>Salida</t>
        </is>
      </c>
      <c r="E6" s="78" t="inlineStr">
        <is>
          <t>Marco Entrada</t>
        </is>
      </c>
      <c r="F6" s="80" t="inlineStr">
        <is>
          <t>Marco        Salida</t>
        </is>
      </c>
      <c r="G6" s="85" t="inlineStr">
        <is>
          <t>CONTROL ASISTENCIA</t>
        </is>
      </c>
      <c r="H6" s="86" t="n"/>
      <c r="I6" s="86" t="n"/>
      <c r="J6" s="86" t="n"/>
      <c r="K6" s="86" t="n"/>
      <c r="L6" s="87" t="n"/>
      <c r="M6" s="75" t="inlineStr">
        <is>
          <t>Horas nocturnas, suplementarias y extraordinarias</t>
        </is>
      </c>
      <c r="N6" s="88" t="n"/>
      <c r="O6" s="88" t="n"/>
      <c r="P6" s="88" t="n"/>
      <c r="Q6" s="88" t="n"/>
      <c r="R6" s="89" t="n"/>
    </row>
    <row r="7" ht="54" customHeight="1">
      <c r="A7" s="90" t="n"/>
      <c r="B7" s="90" t="n"/>
      <c r="C7" s="90" t="n"/>
      <c r="D7" s="90" t="n"/>
      <c r="E7" s="90" t="n"/>
      <c r="F7" s="91" t="n"/>
      <c r="G7" s="14" t="inlineStr">
        <is>
          <t>Entrada</t>
        </is>
      </c>
      <c r="H7" s="15" t="inlineStr">
        <is>
          <t>Salida</t>
        </is>
      </c>
      <c r="I7" s="15" t="inlineStr">
        <is>
          <t>TOTAL</t>
        </is>
      </c>
      <c r="J7" s="15" t="inlineStr">
        <is>
          <t>Atraso</t>
        </is>
      </c>
      <c r="K7" s="15" t="inlineStr">
        <is>
          <t>Salida Temprano</t>
        </is>
      </c>
      <c r="L7" s="16" t="inlineStr">
        <is>
          <t>TOTAL</t>
        </is>
      </c>
      <c r="M7" s="17" t="inlineStr">
        <is>
          <t>Horario nocturno  base       mañana</t>
        </is>
      </c>
      <c r="N7" s="18" t="inlineStr">
        <is>
          <t xml:space="preserve">Horas Nocturnas </t>
        </is>
      </c>
      <c r="O7" s="18" t="inlineStr">
        <is>
          <t>Horas Suplement Base</t>
        </is>
      </c>
      <c r="P7" s="18" t="inlineStr">
        <is>
          <t>Horario normal</t>
        </is>
      </c>
      <c r="Q7" s="18" t="inlineStr">
        <is>
          <t xml:space="preserve">Horas Suplementarias </t>
        </is>
      </c>
      <c r="R7" s="18" t="inlineStr">
        <is>
          <t xml:space="preserve">Horas Extraordinarias </t>
        </is>
      </c>
    </row>
    <row r="8" ht="16.5" customHeight="1">
      <c r="A8" s="19" t="n">
        <v>9</v>
      </c>
      <c r="B8" s="92" t="n">
        <v>46143</v>
      </c>
      <c r="C8" s="21" t="n">
        <v>0.2708333333333333</v>
      </c>
      <c r="D8" s="22" t="n">
        <v>0.6041666666666666</v>
      </c>
      <c r="E8" s="93" t="n">
        <v>0.2626041666666667</v>
      </c>
      <c r="F8" s="93" t="n">
        <v>0.593113425925926</v>
      </c>
      <c r="G8" s="24">
        <f>IF(C8-E8&gt;0,+C8-E8,0)</f>
        <v/>
      </c>
      <c r="H8" s="25">
        <f>IF(F8-D8&gt;0,+F8-D8,0)</f>
        <v/>
      </c>
      <c r="I8" s="25">
        <f>SUM(G8:H8)</f>
        <v/>
      </c>
      <c r="J8" s="25">
        <f>IF(C8-E8&lt;0,+(+C8-E8)*-1,0)</f>
        <v/>
      </c>
      <c r="K8" s="25">
        <f>IF(F8-D8&lt;0,+(+F8-D8)*-1,0)</f>
        <v/>
      </c>
      <c r="L8" s="26">
        <f>+J8+K8</f>
        <v/>
      </c>
      <c r="M8" s="27" t="n">
        <v>0.25</v>
      </c>
      <c r="N8" s="11">
        <f>IF((+M8-E8)&gt;0,(+M8-E8),0)</f>
        <v/>
      </c>
      <c r="O8" s="28">
        <f>+F8-E8</f>
        <v/>
      </c>
      <c r="P8" s="28" t="n">
        <v>0.3333333333333333</v>
      </c>
      <c r="Q8" s="28">
        <f>+O8-P8</f>
        <v/>
      </c>
      <c r="R8" s="29" t="n"/>
      <c r="S8" s="10" t="n"/>
    </row>
    <row r="9" ht="15.75" customHeight="1">
      <c r="A9" s="19" t="n">
        <v>9</v>
      </c>
      <c r="B9" s="92" t="n">
        <v>46144</v>
      </c>
      <c r="C9" s="21" t="n">
        <v>0.2708333333333333</v>
      </c>
      <c r="D9" s="22" t="n">
        <v>0.6041666666666666</v>
      </c>
      <c r="E9" s="93" t="n">
        <v>0.2610069444444444</v>
      </c>
      <c r="F9" s="93" t="n">
        <v>0.6004513888888889</v>
      </c>
      <c r="G9" s="24">
        <f>IF(C9-E9&gt;0,+C9-E9,0)</f>
        <v/>
      </c>
      <c r="H9" s="25">
        <f>IF(F9-D9&gt;0,+F9-D9,0)</f>
        <v/>
      </c>
      <c r="I9" s="25">
        <f>SUM(G9:H9)</f>
        <v/>
      </c>
      <c r="J9" s="25">
        <f>IF(C9-E9&lt;0,+(+C9-E9)*-1,0)</f>
        <v/>
      </c>
      <c r="K9" s="25">
        <f>IF(F9-D9&lt;0,+(+F9-D9)*-1,0)</f>
        <v/>
      </c>
      <c r="L9" s="26">
        <f>+J9+K9</f>
        <v/>
      </c>
      <c r="M9" s="27" t="n">
        <v>0.25</v>
      </c>
      <c r="N9" s="11">
        <f>IF((+M9-E9)&gt;0,(+M9-E9),0)</f>
        <v/>
      </c>
      <c r="O9" s="28">
        <f>+F9-E9</f>
        <v/>
      </c>
      <c r="P9" s="28" t="n">
        <v>0.3333333333333333</v>
      </c>
      <c r="Q9" s="28">
        <f>+O9-P9</f>
        <v/>
      </c>
      <c r="R9" s="29" t="n"/>
      <c r="S9" s="10" t="n"/>
    </row>
    <row r="10" ht="15.75" customHeight="1">
      <c r="A10" s="19" t="n">
        <v>9</v>
      </c>
      <c r="B10" s="92" t="n">
        <v>46146</v>
      </c>
      <c r="C10" s="21" t="n">
        <v>0.2708333333333333</v>
      </c>
      <c r="D10" s="22" t="n">
        <v>0.6041666666666666</v>
      </c>
      <c r="E10" s="93" t="n">
        <v>0.2645833333333333</v>
      </c>
      <c r="F10" s="93" t="n">
        <v>0.6112268518518519</v>
      </c>
      <c r="G10" s="24">
        <f>IF(C10-E10&gt;0,+C10-E10,0)</f>
        <v/>
      </c>
      <c r="H10" s="25">
        <f>IF(F10-D10&gt;0,+F10-D10,0)</f>
        <v/>
      </c>
      <c r="I10" s="25">
        <f>SUM(G10:H10)</f>
        <v/>
      </c>
      <c r="J10" s="25">
        <f>IF(C10-E10&lt;0,+(+C10-E10)*-1,0)</f>
        <v/>
      </c>
      <c r="K10" s="25">
        <f>IF(F10-D10&lt;0,+(+F10-D10)*-1,0)</f>
        <v/>
      </c>
      <c r="L10" s="26">
        <f>+J10+K10</f>
        <v/>
      </c>
      <c r="M10" s="27" t="n">
        <v>0.25</v>
      </c>
      <c r="N10" s="11">
        <f>IF((+M10-E10)&gt;0,(+M10-E10),0)</f>
        <v/>
      </c>
      <c r="O10" s="28">
        <f>+F10-E10</f>
        <v/>
      </c>
      <c r="P10" s="28" t="n">
        <v>0.3333333333333333</v>
      </c>
      <c r="Q10" s="28">
        <f>+O10-P10</f>
        <v/>
      </c>
      <c r="R10" s="29" t="n"/>
      <c r="S10" s="10" t="n"/>
    </row>
    <row r="11" ht="15.75" customHeight="1">
      <c r="A11" s="19" t="n">
        <v>9</v>
      </c>
      <c r="B11" s="92" t="n">
        <v>46147</v>
      </c>
      <c r="C11" s="21" t="n">
        <v>0.2708333333333333</v>
      </c>
      <c r="D11" s="22" t="n">
        <v>0.6041666666666666</v>
      </c>
      <c r="E11" s="93" t="n">
        <v>0.2634606481481481</v>
      </c>
      <c r="F11" s="93" t="n">
        <v>0.6102083333333334</v>
      </c>
      <c r="G11" s="24">
        <f>IF(C11-E11&gt;0,+C11-E11,0)</f>
        <v/>
      </c>
      <c r="H11" s="25">
        <f>IF(F11-D11&gt;0,+F11-D11,0)</f>
        <v/>
      </c>
      <c r="I11" s="25">
        <f>SUM(G11:H11)</f>
        <v/>
      </c>
      <c r="J11" s="25">
        <f>IF(C11-E11&lt;0,+(+C11-E11)*-1,0)</f>
        <v/>
      </c>
      <c r="K11" s="25">
        <f>IF(F11-D11&lt;0,+(+F11-D11)*-1,0)</f>
        <v/>
      </c>
      <c r="L11" s="26">
        <f>+J11+K11</f>
        <v/>
      </c>
      <c r="M11" s="27" t="n">
        <v>0.25</v>
      </c>
      <c r="N11" s="11">
        <f>IF((+M11-E11)&gt;0,(+M11-E11),0)</f>
        <v/>
      </c>
      <c r="O11" s="28">
        <f>+F11-E11</f>
        <v/>
      </c>
      <c r="P11" s="28" t="n">
        <v>0.3333333333333333</v>
      </c>
      <c r="Q11" s="28">
        <f>+O11-P11</f>
        <v/>
      </c>
      <c r="R11" s="29" t="n"/>
      <c r="S11" s="10" t="n"/>
    </row>
    <row r="12" ht="15.75" customHeight="1">
      <c r="A12" s="19" t="n">
        <v>9</v>
      </c>
      <c r="B12" s="92" t="n">
        <v>46148</v>
      </c>
      <c r="C12" s="21" t="n">
        <v>0.2708333333333333</v>
      </c>
      <c r="D12" s="22" t="n">
        <v>0.6041666666666666</v>
      </c>
      <c r="E12" s="93" t="n">
        <v>0.2620486111111111</v>
      </c>
      <c r="F12" s="93" t="n">
        <v>0.6154398148148148</v>
      </c>
      <c r="G12" s="24">
        <f>IF(C12-E12&gt;0,+C12-E12,0)</f>
        <v/>
      </c>
      <c r="H12" s="25">
        <f>IF(F12-D12&gt;0,+F12-D12,0)</f>
        <v/>
      </c>
      <c r="I12" s="25">
        <f>SUM(G12:H12)</f>
        <v/>
      </c>
      <c r="J12" s="25">
        <f>IF(C12-E12&lt;0,+(+C12-E12)*-1,0)</f>
        <v/>
      </c>
      <c r="K12" s="25">
        <f>IF(F12-D12&lt;0,+(+F12-D12)*-1,0)</f>
        <v/>
      </c>
      <c r="L12" s="26">
        <f>+J12+K12</f>
        <v/>
      </c>
      <c r="M12" s="27" t="n">
        <v>0.25</v>
      </c>
      <c r="N12" s="11">
        <f>IF((+M12-E12)&gt;0,(+M12-E12),0)</f>
        <v/>
      </c>
      <c r="O12" s="28">
        <f>+F12-E12</f>
        <v/>
      </c>
      <c r="P12" s="28" t="n">
        <v>0.3333333333333333</v>
      </c>
      <c r="Q12" s="28">
        <f>+O12-P12</f>
        <v/>
      </c>
      <c r="R12" s="29" t="n"/>
      <c r="S12" s="10" t="n"/>
    </row>
    <row r="13" ht="15.75" customHeight="1">
      <c r="A13" s="30" t="n">
        <v>9</v>
      </c>
      <c r="B13" s="94" t="n">
        <v>46149</v>
      </c>
      <c r="C13" s="32" t="n">
        <v>0.2708333333333333</v>
      </c>
      <c r="D13" s="33" t="n">
        <v>0.6041666666666666</v>
      </c>
      <c r="E13" s="95" t="n">
        <v>0.2647800925925926</v>
      </c>
      <c r="F13" s="95" t="n">
        <v>0.6117013888888889</v>
      </c>
      <c r="G13" s="35" t="n"/>
      <c r="H13" s="36" t="n"/>
      <c r="I13" s="36" t="n"/>
      <c r="J13" s="36" t="n"/>
      <c r="K13" s="36" t="n"/>
      <c r="L13" s="37" t="n"/>
      <c r="M13" s="38" t="n"/>
      <c r="N13" s="39" t="n"/>
      <c r="O13" s="40" t="n"/>
      <c r="P13" s="40" t="n"/>
      <c r="Q13" s="40" t="n"/>
      <c r="R13" s="40" t="n"/>
      <c r="S13" s="10" t="n"/>
    </row>
    <row r="14" ht="15.75" customHeight="1">
      <c r="A14" s="19" t="n">
        <v>9</v>
      </c>
      <c r="B14" s="92" t="n">
        <v>46150</v>
      </c>
      <c r="C14" s="21" t="n">
        <v>0.2708333333333333</v>
      </c>
      <c r="D14" s="22" t="n">
        <v>0.6041666666666666</v>
      </c>
      <c r="E14" s="93" t="n">
        <v>0.2685532407407407</v>
      </c>
      <c r="F14" s="93" t="n">
        <v>0.6157291666666667</v>
      </c>
      <c r="G14" s="24">
        <f>IF(C14-E14&gt;0,+C14-E14,0)</f>
        <v/>
      </c>
      <c r="H14" s="25">
        <f>IF(F14-D14&gt;0,+F14-D14,0)</f>
        <v/>
      </c>
      <c r="I14" s="25">
        <f>SUM(G14:H14)</f>
        <v/>
      </c>
      <c r="J14" s="25">
        <f>IF(C14-E14&lt;0,+(+C14-E14)*-1,0)</f>
        <v/>
      </c>
      <c r="K14" s="25">
        <f>IF(F14-D14&lt;0,+(+F14-D14)*-1,0)</f>
        <v/>
      </c>
      <c r="L14" s="26">
        <f>+J14+K14</f>
        <v/>
      </c>
      <c r="M14" s="27" t="n">
        <v>0.25</v>
      </c>
      <c r="N14" s="11">
        <f>IF((+M14-E14)&gt;0,(+M14-E14),0)</f>
        <v/>
      </c>
      <c r="O14" s="28">
        <f>+F14-E14</f>
        <v/>
      </c>
      <c r="P14" s="28" t="n">
        <v>0.3333333333333333</v>
      </c>
      <c r="Q14" s="28">
        <f>+O14-P14</f>
        <v/>
      </c>
      <c r="R14" s="29" t="n"/>
      <c r="S14" s="10" t="n"/>
    </row>
    <row r="15" ht="15.75" customHeight="1">
      <c r="A15" s="19" t="n">
        <v>9</v>
      </c>
      <c r="B15" s="92" t="n">
        <v>46153</v>
      </c>
      <c r="C15" s="21" t="n">
        <v>0.2708333333333333</v>
      </c>
      <c r="D15" s="22" t="n">
        <v>0.6041666666666666</v>
      </c>
      <c r="E15" s="93" t="n">
        <v>0.2637962962962963</v>
      </c>
      <c r="F15" s="93" t="n">
        <v>0.6114699074074074</v>
      </c>
      <c r="G15" s="24">
        <f>IF(C15-E15&gt;0,+C15-E15,0)</f>
        <v/>
      </c>
      <c r="H15" s="25">
        <f>IF(F15-D15&gt;0,+F15-D15,0)</f>
        <v/>
      </c>
      <c r="I15" s="25">
        <f>SUM(G15:H15)</f>
        <v/>
      </c>
      <c r="J15" s="25">
        <f>IF(C15-E15&lt;0,+(+C15-E15)*-1,0)</f>
        <v/>
      </c>
      <c r="K15" s="25">
        <f>IF(F15-D15&lt;0,+(+F15-D15)*-1,0)</f>
        <v/>
      </c>
      <c r="L15" s="26">
        <f>+J15+K15</f>
        <v/>
      </c>
      <c r="M15" s="27" t="n">
        <v>0.25</v>
      </c>
      <c r="N15" s="11">
        <f>IF((+M15-E15)&gt;0,(+M15-E15),0)</f>
        <v/>
      </c>
      <c r="O15" s="28">
        <f>+F15-E15</f>
        <v/>
      </c>
      <c r="P15" s="28" t="n">
        <v>0.3333333333333333</v>
      </c>
      <c r="Q15" s="28">
        <f>+O15-P15</f>
        <v/>
      </c>
      <c r="R15" s="29" t="n"/>
      <c r="S15" s="10" t="n"/>
    </row>
    <row r="16" ht="15.75" customHeight="1">
      <c r="A16" s="19" t="n">
        <v>9</v>
      </c>
      <c r="B16" s="92" t="n">
        <v>46154</v>
      </c>
      <c r="C16" s="21" t="n">
        <v>0.2708333333333333</v>
      </c>
      <c r="D16" s="22" t="n">
        <v>0.6041666666666666</v>
      </c>
      <c r="E16" s="93" t="n">
        <v>0.2646527777777778</v>
      </c>
      <c r="F16" s="93" t="n">
        <v>0.6109837962962963</v>
      </c>
      <c r="G16" s="24">
        <f>IF(C16-E16&gt;0,+C16-E16,0)</f>
        <v/>
      </c>
      <c r="H16" s="25">
        <f>IF(F16-D16&gt;0,+F16-D16,0)</f>
        <v/>
      </c>
      <c r="I16" s="25">
        <f>SUM(G16:H16)</f>
        <v/>
      </c>
      <c r="J16" s="25">
        <f>IF(C16-E16&lt;0,+(+C16-E16)*-1,0)</f>
        <v/>
      </c>
      <c r="K16" s="25">
        <f>IF(F16-D16&lt;0,+(+F16-D16)*-1,0)</f>
        <v/>
      </c>
      <c r="L16" s="26">
        <f>+J16+K16</f>
        <v/>
      </c>
      <c r="M16" s="27" t="n">
        <v>0.25</v>
      </c>
      <c r="N16" s="11">
        <f>IF((+M16-E16)&gt;0,(+M16-E16),0)</f>
        <v/>
      </c>
      <c r="O16" s="28">
        <f>+F16-E16</f>
        <v/>
      </c>
      <c r="P16" s="28" t="n">
        <v>0.3333333333333333</v>
      </c>
      <c r="Q16" s="28">
        <f>+O16-P16</f>
        <v/>
      </c>
      <c r="R16" s="29" t="n"/>
      <c r="S16" s="10" t="n"/>
    </row>
    <row r="17" ht="15.75" customHeight="1">
      <c r="A17" s="19" t="n">
        <v>9</v>
      </c>
      <c r="B17" s="92" t="n">
        <v>46155</v>
      </c>
      <c r="C17" s="21" t="n">
        <v>0.2708333333333333</v>
      </c>
      <c r="D17" s="22" t="n">
        <v>0.6041666666666666</v>
      </c>
      <c r="E17" s="93" t="n">
        <v>0.2658333333333333</v>
      </c>
      <c r="F17" s="93" t="n">
        <v>0.6052893518518518</v>
      </c>
      <c r="G17" s="24">
        <f>IF(C17-E17&gt;0,+C17-E17,0)</f>
        <v/>
      </c>
      <c r="H17" s="25">
        <f>IF(F17-D17&gt;0,+F17-D17,0)</f>
        <v/>
      </c>
      <c r="I17" s="25">
        <f>SUM(G17:H17)</f>
        <v/>
      </c>
      <c r="J17" s="25">
        <f>IF(C17-E17&lt;0,+(+C17-E17)*-1,0)</f>
        <v/>
      </c>
      <c r="K17" s="25">
        <f>IF(F17-D17&lt;0,+(+F17-D17)*-1,0)</f>
        <v/>
      </c>
      <c r="L17" s="26">
        <f>+J17+K17</f>
        <v/>
      </c>
      <c r="M17" s="27" t="n">
        <v>0.25</v>
      </c>
      <c r="N17" s="11">
        <f>IF((+M17-E17)&gt;0,(+M17-E17),0)</f>
        <v/>
      </c>
      <c r="O17" s="28">
        <f>+F17-E17</f>
        <v/>
      </c>
      <c r="P17" s="28" t="n">
        <v>0.3333333333333333</v>
      </c>
      <c r="Q17" s="28">
        <f>+O17-P17</f>
        <v/>
      </c>
      <c r="R17" s="29" t="n"/>
      <c r="S17" s="10" t="n"/>
    </row>
    <row r="18" ht="15.75" customHeight="1">
      <c r="A18" s="19" t="n">
        <v>9</v>
      </c>
      <c r="B18" s="92" t="n">
        <v>46156</v>
      </c>
      <c r="C18" s="21" t="n">
        <v>0.2708333333333333</v>
      </c>
      <c r="D18" s="22" t="n">
        <v>0.6041666666666666</v>
      </c>
      <c r="E18" s="93" t="n">
        <v>0.2642361111111111</v>
      </c>
      <c r="F18" s="93" t="n">
        <v>0.6172453703703704</v>
      </c>
      <c r="G18" s="24">
        <f>IF(C18-E18&gt;0,+C18-E18,0)</f>
        <v/>
      </c>
      <c r="H18" s="25">
        <f>IF(F18-D18&gt;0,+F18-D18,0)</f>
        <v/>
      </c>
      <c r="I18" s="25">
        <f>SUM(G18:H18)</f>
        <v/>
      </c>
      <c r="J18" s="25">
        <f>IF(C18-E18&lt;0,+(+C18-E18)*-1,0)</f>
        <v/>
      </c>
      <c r="K18" s="25">
        <f>IF(F18-D18&lt;0,+(+F18-D18)*-1,0)</f>
        <v/>
      </c>
      <c r="L18" s="26">
        <f>+J18+K18</f>
        <v/>
      </c>
      <c r="M18" s="27" t="n">
        <v>0.25</v>
      </c>
      <c r="N18" s="11">
        <f>IF((+M18-E18)&gt;0,(+M18-E18),0)</f>
        <v/>
      </c>
      <c r="O18" s="28">
        <f>+F18-E18</f>
        <v/>
      </c>
      <c r="P18" s="28" t="n">
        <v>0.3333333333333333</v>
      </c>
      <c r="Q18" s="28">
        <f>+O18-P18</f>
        <v/>
      </c>
      <c r="R18" s="29" t="n"/>
      <c r="S18" s="10" t="n"/>
    </row>
    <row r="19" ht="15.75" customHeight="1">
      <c r="A19" s="30" t="n">
        <v>9</v>
      </c>
      <c r="B19" s="94" t="n">
        <v>46157</v>
      </c>
      <c r="C19" s="32" t="n">
        <v>0.2708333333333333</v>
      </c>
      <c r="D19" s="33" t="n">
        <v>0.6041666666666666</v>
      </c>
      <c r="E19" s="95" t="n">
        <v>0.2648032407407407</v>
      </c>
      <c r="F19" s="95" t="n">
        <v>0.610462962962963</v>
      </c>
      <c r="G19" s="35">
        <f>IF(C19-E19&gt;0,+C19-E19,0)</f>
        <v/>
      </c>
      <c r="H19" s="36">
        <f>IF(F19-D19&gt;0,+F19-D19,0)</f>
        <v/>
      </c>
      <c r="I19" s="36">
        <f>SUM(G19:H19)</f>
        <v/>
      </c>
      <c r="J19" s="36">
        <f>IF(C19-E19&lt;0,+(+C19-E19)*-1,0)</f>
        <v/>
      </c>
      <c r="K19" s="36">
        <f>IF(F19-D19&lt;0,+(+F19-D19)*-1,0)</f>
        <v/>
      </c>
      <c r="L19" s="37">
        <f>+J19+K19</f>
        <v/>
      </c>
      <c r="M19" s="38" t="n"/>
      <c r="N19" s="39" t="n"/>
      <c r="O19" s="40">
        <f>+F19-E19</f>
        <v/>
      </c>
      <c r="P19" s="40" t="n"/>
      <c r="Q19" s="40" t="n"/>
      <c r="R19" s="40">
        <f>+F19-E19</f>
        <v/>
      </c>
      <c r="S19" s="10" t="n"/>
    </row>
    <row r="20" ht="16.5" customHeight="1">
      <c r="A20" s="19" t="n">
        <v>9</v>
      </c>
      <c r="B20" s="92" t="n">
        <v>46158</v>
      </c>
      <c r="C20" s="21" t="n">
        <v>0.2708333333333333</v>
      </c>
      <c r="D20" s="22" t="n">
        <v>0.6041666666666666</v>
      </c>
      <c r="E20" s="93" t="n">
        <v>0.2614236111111111</v>
      </c>
      <c r="F20" s="93" t="n">
        <v>0.5850462962962963</v>
      </c>
      <c r="G20" s="24">
        <f>IF(C20-E20&gt;0,+C20-E20,0)</f>
        <v/>
      </c>
      <c r="H20" s="25">
        <f>IF(F20-D20&gt;0,+F20-D20,0)</f>
        <v/>
      </c>
      <c r="I20" s="25">
        <f>SUM(G20:H20)</f>
        <v/>
      </c>
      <c r="J20" s="25">
        <f>IF(C20-E20&lt;0,+(+C20-E20)*-1,0)</f>
        <v/>
      </c>
      <c r="K20" s="25">
        <f>IF(F20-D20&lt;0,+(+F20-D20)*-1,0)</f>
        <v/>
      </c>
      <c r="L20" s="26">
        <f>+J20+K20</f>
        <v/>
      </c>
      <c r="M20" s="27" t="n">
        <v>0.25</v>
      </c>
      <c r="N20" s="11">
        <f>IF((+M20-E20)&gt;0,(+M20-E20),0)</f>
        <v/>
      </c>
      <c r="O20" s="28">
        <f>+F20-E20</f>
        <v/>
      </c>
      <c r="P20" s="28" t="n">
        <v>0.3333333333333333</v>
      </c>
      <c r="Q20" s="28">
        <f>+O20-P20</f>
        <v/>
      </c>
      <c r="R20" s="29" t="n"/>
      <c r="S20" s="10" t="n"/>
    </row>
    <row r="21" ht="15.75" customHeight="1">
      <c r="A21" s="19" t="n">
        <v>9</v>
      </c>
      <c r="B21" s="92" t="n">
        <v>46160</v>
      </c>
      <c r="C21" s="21" t="n">
        <v>0.2708333333333333</v>
      </c>
      <c r="D21" s="22" t="n">
        <v>0.6041666666666666</v>
      </c>
      <c r="E21" s="93" t="n">
        <v>0.2644328703703704</v>
      </c>
      <c r="F21" s="93" t="n">
        <v>0.6151504629629629</v>
      </c>
      <c r="G21" s="24">
        <f>IF(C21-E21&gt;0,+C21-E21,0)</f>
        <v/>
      </c>
      <c r="H21" s="25">
        <f>IF(F21-D21&gt;0,+F21-D21,0)</f>
        <v/>
      </c>
      <c r="I21" s="25">
        <f>SUM(G21:H21)</f>
        <v/>
      </c>
      <c r="J21" s="25">
        <f>IF(C21-E21&lt;0,+(+C21-E21)*-1,0)</f>
        <v/>
      </c>
      <c r="K21" s="25">
        <f>IF(F21-D21&lt;0,+(+F21-D21)*-1,0)</f>
        <v/>
      </c>
      <c r="L21" s="26">
        <f>+J21+K21</f>
        <v/>
      </c>
      <c r="M21" s="27" t="n">
        <v>0.25</v>
      </c>
      <c r="N21" s="11">
        <f>IF((+M21-E21)&gt;0,(+M21-E21),0)</f>
        <v/>
      </c>
      <c r="O21" s="28">
        <f>+F21-E21</f>
        <v/>
      </c>
      <c r="P21" s="28" t="n">
        <v>0.3333333333333333</v>
      </c>
      <c r="Q21" s="28">
        <f>+O21-P21</f>
        <v/>
      </c>
      <c r="R21" s="29" t="n"/>
      <c r="S21" s="10" t="n"/>
    </row>
    <row r="22" ht="15.75" customHeight="1">
      <c r="A22" s="19" t="n">
        <v>9</v>
      </c>
      <c r="B22" s="92" t="n">
        <v>46161</v>
      </c>
      <c r="C22" s="21" t="n">
        <v>0.2708333333333333</v>
      </c>
      <c r="D22" s="22" t="n">
        <v>0.6041666666666666</v>
      </c>
      <c r="E22" s="93" t="n">
        <v>0.2593402777777778</v>
      </c>
      <c r="F22" s="93" t="n">
        <v>0.6086342592592593</v>
      </c>
      <c r="G22" s="24">
        <f>IF(C22-E22&gt;0,+C22-E22,0)</f>
        <v/>
      </c>
      <c r="H22" s="25">
        <f>IF(F22-D22&gt;0,+F22-D22,0)</f>
        <v/>
      </c>
      <c r="I22" s="25">
        <f>SUM(G22:H22)</f>
        <v/>
      </c>
      <c r="J22" s="25">
        <f>IF(C22-E22&lt;0,+(+C22-E22)*-1,0)</f>
        <v/>
      </c>
      <c r="K22" s="25">
        <f>IF(F22-D22&lt;0,+(+F22-D22)*-1,0)</f>
        <v/>
      </c>
      <c r="L22" s="26">
        <f>+J22+K22</f>
        <v/>
      </c>
      <c r="M22" s="27" t="n">
        <v>0.25</v>
      </c>
      <c r="N22" s="11">
        <f>IF((+M22-E22)&gt;0,(+M22-E22),0)</f>
        <v/>
      </c>
      <c r="O22" s="28">
        <f>+F22-E22</f>
        <v/>
      </c>
      <c r="P22" s="28" t="n">
        <v>0.3333333333333333</v>
      </c>
      <c r="Q22" s="28">
        <f>+O22-P22</f>
        <v/>
      </c>
      <c r="R22" s="29" t="n"/>
      <c r="S22" s="10" t="n"/>
    </row>
    <row r="23" ht="15.75" customHeight="1">
      <c r="A23" s="19" t="n">
        <v>9</v>
      </c>
      <c r="B23" s="92" t="n">
        <v>46162</v>
      </c>
      <c r="C23" s="21" t="n">
        <v>0.2708333333333333</v>
      </c>
      <c r="D23" s="22" t="n">
        <v>0.6041666666666666</v>
      </c>
      <c r="E23" s="93" t="n">
        <v>0.2611111111111111</v>
      </c>
      <c r="F23" s="93" t="n">
        <v>0.6482523148148148</v>
      </c>
      <c r="G23" s="24">
        <f>IF(C23-E23&gt;0,+C23-E23,0)</f>
        <v/>
      </c>
      <c r="H23" s="25">
        <f>IF(F23-D23&gt;0,+F23-D23,0)</f>
        <v/>
      </c>
      <c r="I23" s="25">
        <f>SUM(G23:H23)</f>
        <v/>
      </c>
      <c r="J23" s="25">
        <f>IF(C23-E23&lt;0,+(+C23-E23)*-1,0)</f>
        <v/>
      </c>
      <c r="K23" s="25">
        <f>IF(F23-D23&lt;0,+(+F23-D23)*-1,0)</f>
        <v/>
      </c>
      <c r="L23" s="26">
        <f>+J23+K23</f>
        <v/>
      </c>
      <c r="M23" s="27" t="n">
        <v>0.25</v>
      </c>
      <c r="N23" s="11">
        <f>IF((+M23-E23)&gt;0,(+M23-E23),0)</f>
        <v/>
      </c>
      <c r="O23" s="28">
        <f>+F23-E23</f>
        <v/>
      </c>
      <c r="P23" s="28" t="n">
        <v>0.3333333333333333</v>
      </c>
      <c r="Q23" s="28">
        <f>+O23-P23</f>
        <v/>
      </c>
      <c r="R23" s="29" t="n"/>
      <c r="S23" s="10" t="n"/>
    </row>
    <row r="24" ht="15.75" customHeight="1">
      <c r="A24" s="19" t="n">
        <v>9</v>
      </c>
      <c r="B24" s="92" t="n">
        <v>46163</v>
      </c>
      <c r="C24" s="21" t="n">
        <v>0.2708333333333333</v>
      </c>
      <c r="D24" s="22" t="n">
        <v>0.6041666666666666</v>
      </c>
      <c r="E24" s="93" t="n">
        <v>0.2618171296296296</v>
      </c>
      <c r="F24" s="93" t="n">
        <v>0.6507060185185185</v>
      </c>
      <c r="G24" s="24">
        <f>IF(C24-E24&gt;0,+C24-E24,0)</f>
        <v/>
      </c>
      <c r="H24" s="25">
        <f>IF(F24-D24&gt;0,+F24-D24,0)</f>
        <v/>
      </c>
      <c r="I24" s="25">
        <f>SUM(G24:H24)</f>
        <v/>
      </c>
      <c r="J24" s="25">
        <f>IF(C24-E24&lt;0,+(+C24-E24)*-1,0)</f>
        <v/>
      </c>
      <c r="K24" s="25">
        <f>IF(F24-D24&lt;0,+(+F24-D24)*-1,0)</f>
        <v/>
      </c>
      <c r="L24" s="26">
        <f>+J24+K24</f>
        <v/>
      </c>
      <c r="M24" s="27" t="n">
        <v>0.25</v>
      </c>
      <c r="N24" s="11">
        <f>IF((+M24-E24)&gt;0,(+M24-E24),0)</f>
        <v/>
      </c>
      <c r="O24" s="28">
        <f>+F24-E24</f>
        <v/>
      </c>
      <c r="P24" s="28" t="n">
        <v>0.3333333333333333</v>
      </c>
      <c r="Q24" s="28">
        <f>+O24-P24</f>
        <v/>
      </c>
      <c r="R24" s="29" t="n"/>
      <c r="S24" s="10" t="n"/>
    </row>
    <row r="25" ht="15.75" customHeight="1">
      <c r="A25" s="30" t="n">
        <v>9</v>
      </c>
      <c r="B25" s="94" t="n">
        <v>46164</v>
      </c>
      <c r="C25" s="32" t="n">
        <v>0.2708333333333333</v>
      </c>
      <c r="D25" s="33" t="n">
        <v>0.6041666666666666</v>
      </c>
      <c r="E25" s="95" t="n">
        <v>0.2603125</v>
      </c>
      <c r="F25" s="95" t="n">
        <v>0.637349537037037</v>
      </c>
      <c r="G25" s="35">
        <f>IF(C25-E25&gt;0,+C25-E25,0)</f>
        <v/>
      </c>
      <c r="H25" s="36">
        <f>IF(F25-D25&gt;0,+F25-D25,0)</f>
        <v/>
      </c>
      <c r="I25" s="36">
        <f>SUM(G25:H25)</f>
        <v/>
      </c>
      <c r="J25" s="36">
        <f>IF(C25-E25&lt;0,+(+C25-E25)*-1,0)</f>
        <v/>
      </c>
      <c r="K25" s="36">
        <f>IF(F25-D25&lt;0,+(+F25-D25)*-1,0)</f>
        <v/>
      </c>
      <c r="L25" s="37">
        <f>+J25+K25</f>
        <v/>
      </c>
      <c r="M25" s="38" t="n"/>
      <c r="N25" s="39" t="n"/>
      <c r="O25" s="40">
        <f>+F25-E25</f>
        <v/>
      </c>
      <c r="P25" s="40" t="n"/>
      <c r="Q25" s="40" t="n"/>
      <c r="R25" s="40">
        <f>+F25-E25</f>
        <v/>
      </c>
      <c r="S25" s="10" t="n"/>
    </row>
    <row r="26" ht="15.75" customHeight="1">
      <c r="A26" s="19" t="n">
        <v>9</v>
      </c>
      <c r="B26" s="92" t="n">
        <v>46165</v>
      </c>
      <c r="C26" s="21" t="n">
        <v>0.2708333333333333</v>
      </c>
      <c r="D26" s="22" t="n">
        <v>0.6041666666666666</v>
      </c>
      <c r="E26" s="93" t="n">
        <v>0.2640162037037037</v>
      </c>
      <c r="F26" s="93" t="n">
        <v>0.5855902777777777</v>
      </c>
      <c r="G26" s="24">
        <f>IF(C26-E26&gt;0,+C26-E26,0)</f>
        <v/>
      </c>
      <c r="H26" s="25">
        <f>IF(F26-D26&gt;0,+F26-D26,0)</f>
        <v/>
      </c>
      <c r="I26" s="25">
        <f>SUM(G26:H26)</f>
        <v/>
      </c>
      <c r="J26" s="25">
        <f>IF(C26-E26&lt;0,+(+C26-E26)*-1,0)</f>
        <v/>
      </c>
      <c r="K26" s="25">
        <f>IF(F26-D26&lt;0,+(+F26-D26)*-1,0)</f>
        <v/>
      </c>
      <c r="L26" s="26">
        <f>+J26+K26</f>
        <v/>
      </c>
      <c r="M26" s="27" t="n">
        <v>0.25</v>
      </c>
      <c r="N26" s="11">
        <f>IF((+M26-E26)&gt;0,(+M26-E26),0)</f>
        <v/>
      </c>
      <c r="O26" s="28">
        <f>+F26-E26</f>
        <v/>
      </c>
      <c r="P26" s="28" t="n">
        <v>0.3333333333333333</v>
      </c>
      <c r="Q26" s="28">
        <f>+O26-P26</f>
        <v/>
      </c>
      <c r="R26" s="29" t="n"/>
      <c r="S26" s="10" t="n"/>
    </row>
    <row r="27" ht="15.75" customHeight="1">
      <c r="A27" s="19" t="n">
        <v>9</v>
      </c>
      <c r="B27" s="92" t="n">
        <v>46167</v>
      </c>
      <c r="C27" s="21" t="n">
        <v>0.2708333333333333</v>
      </c>
      <c r="D27" s="22" t="n">
        <v>0.6041666666666666</v>
      </c>
      <c r="E27" s="93" t="n">
        <v>0.2601273148148148</v>
      </c>
      <c r="F27" s="93" t="n">
        <v>0.5625347222222222</v>
      </c>
      <c r="G27" s="24">
        <f>IF(C27-E27&gt;0,+C27-E27,0)</f>
        <v/>
      </c>
      <c r="H27" s="25">
        <f>IF(F27-D27&gt;0,+F27-D27,0)</f>
        <v/>
      </c>
      <c r="I27" s="25">
        <f>SUM(G27:H27)</f>
        <v/>
      </c>
      <c r="J27" s="25">
        <f>IF(C27-E27&lt;0,+(+C27-E27)*-1,0)</f>
        <v/>
      </c>
      <c r="K27" s="25">
        <f>IF(F27-D27&lt;0,+(+F27-D27)*-1,0)</f>
        <v/>
      </c>
      <c r="L27" s="26">
        <f>+J27+K27</f>
        <v/>
      </c>
      <c r="M27" s="27" t="n">
        <v>0.25</v>
      </c>
      <c r="N27" s="11">
        <f>IF((+M27-E27)&gt;0,(+M27-E27),0)</f>
        <v/>
      </c>
      <c r="O27" s="28">
        <f>+F27-E27</f>
        <v/>
      </c>
      <c r="P27" s="28" t="n">
        <v>0.3333333333333333</v>
      </c>
      <c r="Q27" s="28">
        <f>+O27-P27</f>
        <v/>
      </c>
      <c r="R27" s="29" t="n"/>
      <c r="S27" s="10" t="n"/>
    </row>
    <row r="28" ht="15.75" customHeight="1">
      <c r="A28" s="19" t="n">
        <v>9</v>
      </c>
      <c r="B28" s="92" t="n">
        <v>46168</v>
      </c>
      <c r="C28" s="21" t="n">
        <v>0.2708333333333333</v>
      </c>
      <c r="D28" s="22" t="n">
        <v>0.6041666666666666</v>
      </c>
      <c r="E28" s="93" t="n">
        <v>0.2617592592592592</v>
      </c>
      <c r="F28" s="93" t="n">
        <v>0.6412037037037037</v>
      </c>
      <c r="G28" s="24">
        <f>IF(C28-E28&gt;0,+C28-E28,0)</f>
        <v/>
      </c>
      <c r="H28" s="25">
        <f>IF(F28-D28&gt;0,+F28-D28,0)</f>
        <v/>
      </c>
      <c r="I28" s="25">
        <f>SUM(G28:H28)</f>
        <v/>
      </c>
      <c r="J28" s="25">
        <f>IF(C28-E28&lt;0,+(+C28-E28)*-1,0)</f>
        <v/>
      </c>
      <c r="K28" s="25">
        <f>IF(F28-D28&lt;0,+(+F28-D28)*-1,0)</f>
        <v/>
      </c>
      <c r="L28" s="26">
        <f>+J28+K28</f>
        <v/>
      </c>
      <c r="M28" s="27" t="n">
        <v>0.25</v>
      </c>
      <c r="N28" s="11">
        <f>IF((+M28-E28)&gt;0,(+M28-E28),0)</f>
        <v/>
      </c>
      <c r="O28" s="28">
        <f>+F28-E28</f>
        <v/>
      </c>
      <c r="P28" s="28" t="n">
        <v>0.3333333333333333</v>
      </c>
      <c r="Q28" s="28">
        <f>+O28-P28</f>
        <v/>
      </c>
      <c r="R28" s="29" t="n"/>
      <c r="S28" s="10" t="n"/>
    </row>
    <row r="29" ht="15.75" customHeight="1">
      <c r="A29" s="19" t="n">
        <v>9</v>
      </c>
      <c r="B29" s="92" t="n">
        <v>46169</v>
      </c>
      <c r="C29" s="21" t="n">
        <v>0.2708333333333333</v>
      </c>
      <c r="D29" s="22" t="n">
        <v>0.6041666666666666</v>
      </c>
      <c r="E29" s="93" t="n">
        <v>0.2626736111111111</v>
      </c>
      <c r="F29" s="93" t="n">
        <v>0.6439583333333333</v>
      </c>
      <c r="G29" s="24">
        <f>IF(C29-E29&gt;0,+C29-E29,0)</f>
        <v/>
      </c>
      <c r="H29" s="25">
        <f>IF(F29-D29&gt;0,+F29-D29,0)</f>
        <v/>
      </c>
      <c r="I29" s="25">
        <f>SUM(G29:H29)</f>
        <v/>
      </c>
      <c r="J29" s="25">
        <f>IF(C29-E29&lt;0,+(+C29-E29)*-1,0)</f>
        <v/>
      </c>
      <c r="K29" s="25">
        <f>IF(F29-D29&lt;0,+(+F29-D29)*-1,0)</f>
        <v/>
      </c>
      <c r="L29" s="26">
        <f>+J29+K29</f>
        <v/>
      </c>
      <c r="M29" s="27" t="n">
        <v>0.25</v>
      </c>
      <c r="N29" s="11">
        <f>IF((+M29-E29)&gt;0,(+M29-E29),0)</f>
        <v/>
      </c>
      <c r="O29" s="28">
        <f>+F29-E29</f>
        <v/>
      </c>
      <c r="P29" s="28" t="n">
        <v>0.3333333333333333</v>
      </c>
      <c r="Q29" s="28">
        <f>+O29-P29</f>
        <v/>
      </c>
      <c r="R29" s="29" t="n"/>
      <c r="S29" s="10" t="n"/>
    </row>
    <row r="30" ht="15.75" customHeight="1">
      <c r="A30" s="19" t="n">
        <v>9</v>
      </c>
      <c r="B30" s="92" t="n">
        <v>46170</v>
      </c>
      <c r="C30" s="21" t="n">
        <v>0.2708333333333333</v>
      </c>
      <c r="D30" s="22" t="n">
        <v>0.6041666666666666</v>
      </c>
      <c r="E30" s="93" t="n">
        <v>0.2625578703703704</v>
      </c>
      <c r="F30" s="93" t="n">
        <v>0.6637384259259259</v>
      </c>
      <c r="G30" s="24">
        <f>IF(C30-E30&gt;0,+C30-E30,0)</f>
        <v/>
      </c>
      <c r="H30" s="25">
        <f>IF(F30-D30&gt;0,+F30-D30,0)</f>
        <v/>
      </c>
      <c r="I30" s="25">
        <f>SUM(G30:H30)</f>
        <v/>
      </c>
      <c r="J30" s="25">
        <f>IF(C30-E30&lt;0,+(+C30-E30)*-1,0)</f>
        <v/>
      </c>
      <c r="K30" s="25">
        <f>IF(F30-D30&lt;0,+(+F30-D30)*-1,0)</f>
        <v/>
      </c>
      <c r="L30" s="26">
        <f>+J30+K30</f>
        <v/>
      </c>
      <c r="M30" s="27" t="n">
        <v>0.25</v>
      </c>
      <c r="N30" s="11">
        <f>IF((+M30-E30)&gt;0,(+M30-E30),0)</f>
        <v/>
      </c>
      <c r="O30" s="28">
        <f>+F30-E30</f>
        <v/>
      </c>
      <c r="P30" s="28" t="n">
        <v>0.3333333333333333</v>
      </c>
      <c r="Q30" s="28">
        <f>+O30-P30</f>
        <v/>
      </c>
      <c r="R30" s="29" t="n"/>
      <c r="S30" s="10" t="n"/>
    </row>
    <row r="31" ht="15.75" customHeight="1">
      <c r="A31" s="30" t="n">
        <v>9</v>
      </c>
      <c r="B31" s="94" t="n">
        <v>46171</v>
      </c>
      <c r="C31" s="32" t="n">
        <v>0.2708333333333333</v>
      </c>
      <c r="D31" s="33" t="n">
        <v>0.6041666666666666</v>
      </c>
      <c r="E31" s="95" t="n">
        <v>0.2629050925925926</v>
      </c>
      <c r="F31" s="95" t="n">
        <v>0.6089583333333334</v>
      </c>
      <c r="G31" s="35">
        <f>IF(C31-E31&gt;0,+C31-E31,0)</f>
        <v/>
      </c>
      <c r="H31" s="36">
        <f>IF(F31-D31&gt;0,+F31-D31,0)</f>
        <v/>
      </c>
      <c r="I31" s="36">
        <f>SUM(G31:H31)</f>
        <v/>
      </c>
      <c r="J31" s="36">
        <f>IF(C31-E31&lt;0,+(+C31-E31)*-1,0)</f>
        <v/>
      </c>
      <c r="K31" s="36">
        <f>IF(F31-D31&lt;0,+(+F31-D31)*-1,0)</f>
        <v/>
      </c>
      <c r="L31" s="37">
        <f>+J31+K31</f>
        <v/>
      </c>
      <c r="M31" s="38" t="n"/>
      <c r="N31" s="39" t="n"/>
      <c r="O31" s="40">
        <f>+F31-E31</f>
        <v/>
      </c>
      <c r="P31" s="40" t="n"/>
      <c r="Q31" s="40" t="n"/>
      <c r="R31" s="40">
        <f>+F31-E31</f>
        <v/>
      </c>
      <c r="S31" s="10" t="n"/>
    </row>
    <row r="32" ht="15.75" customHeight="1">
      <c r="A32" s="19" t="n">
        <v>9</v>
      </c>
      <c r="B32" s="92" t="n">
        <v>46172</v>
      </c>
      <c r="C32" s="21" t="n">
        <v>0.2708333333333333</v>
      </c>
      <c r="D32" s="22" t="n">
        <v>0.6041666666666666</v>
      </c>
      <c r="E32" s="93" t="n">
        <v>0.2610879629629629</v>
      </c>
      <c r="F32" s="93" t="n">
        <v>0.5909722222222222</v>
      </c>
      <c r="G32" s="24">
        <f>IF(C32-E32&gt;0,+C32-E32,0)</f>
        <v/>
      </c>
      <c r="H32" s="25">
        <f>IF(F32-D32&gt;0,+F32-D32,0)</f>
        <v/>
      </c>
      <c r="I32" s="25">
        <f>SUM(G32:H32)</f>
        <v/>
      </c>
      <c r="J32" s="25">
        <f>IF(C32-E32&lt;0,+(+C32-E32)*-1,0)</f>
        <v/>
      </c>
      <c r="K32" s="25">
        <f>IF(F32-D32&lt;0,+(+F32-D32)*-1,0)</f>
        <v/>
      </c>
      <c r="L32" s="26">
        <f>+J32+K32</f>
        <v/>
      </c>
      <c r="M32" s="27" t="n">
        <v>0.25</v>
      </c>
      <c r="N32" s="11">
        <f>IF((+M32-E32)&gt;0,(+M32-E32),0)</f>
        <v/>
      </c>
      <c r="O32" s="28">
        <f>+F32-E32</f>
        <v/>
      </c>
      <c r="P32" s="28" t="n">
        <v>0.3333333333333333</v>
      </c>
      <c r="Q32" s="28">
        <f>+O32-P32</f>
        <v/>
      </c>
      <c r="R32" s="29" t="n"/>
      <c r="S32" s="10" t="n"/>
    </row>
    <row r="33" ht="15.75" customHeight="1">
      <c r="A33" s="19" t="n">
        <v>9</v>
      </c>
      <c r="B33" s="20" t="n"/>
      <c r="C33" s="21" t="n">
        <v>0.2708333333333333</v>
      </c>
      <c r="D33" s="22" t="n">
        <v>0.6041666666666666</v>
      </c>
      <c r="E33" s="23" t="n"/>
      <c r="F33" s="23" t="n"/>
      <c r="G33" s="24">
        <f>IF(C33-E33&gt;0,+C33-E33,0)</f>
        <v/>
      </c>
      <c r="H33" s="25">
        <f>IF(F33-D33&gt;0,+F33-D33,0)</f>
        <v/>
      </c>
      <c r="I33" s="25">
        <f>SUM(G33:H33)</f>
        <v/>
      </c>
      <c r="J33" s="25">
        <f>IF(C33-E33&lt;0,+(+C33-E33)*-1,0)</f>
        <v/>
      </c>
      <c r="K33" s="25">
        <f>IF(F33-D33&lt;0,+(+F33-D33)*-1,0)</f>
        <v/>
      </c>
      <c r="L33" s="26">
        <f>+J33+K33</f>
        <v/>
      </c>
      <c r="M33" s="27" t="n">
        <v>0.25</v>
      </c>
      <c r="N33" s="11">
        <f>IF((+M33-E33)&gt;0,(+M33-E33),0)</f>
        <v/>
      </c>
      <c r="O33" s="28">
        <f>+F33-E33</f>
        <v/>
      </c>
      <c r="P33" s="28" t="n">
        <v>0.3333333333333333</v>
      </c>
      <c r="Q33" s="28">
        <f>+O33-P33</f>
        <v/>
      </c>
      <c r="R33" s="29" t="n"/>
      <c r="S33" s="10" t="n"/>
    </row>
    <row r="34" ht="24" customHeight="1" thickBot="1">
      <c r="B34" s="41" t="n"/>
      <c r="G34" s="42" t="n"/>
      <c r="H34" s="43" t="n"/>
      <c r="I34" s="43" t="n"/>
      <c r="J34" s="43" t="n"/>
      <c r="K34" s="43" t="n"/>
      <c r="L34" s="44" t="n"/>
      <c r="M34" s="45" t="n"/>
      <c r="N34" s="46" t="n"/>
      <c r="O34" s="47" t="n"/>
      <c r="P34" s="47" t="n"/>
      <c r="Q34" s="46">
        <f>SUM(Q8:Q33)</f>
        <v/>
      </c>
      <c r="R34" s="46">
        <f>SUM(R8:R33)</f>
        <v/>
      </c>
    </row>
    <row r="35">
      <c r="G35" s="48" t="n"/>
      <c r="H35" s="48" t="n"/>
      <c r="I35" s="48" t="n"/>
      <c r="J35" s="48" t="n"/>
      <c r="K35" s="48" t="n"/>
      <c r="L35" s="48" t="n"/>
      <c r="N35" s="49" t="n"/>
      <c r="O35" s="50" t="n"/>
      <c r="P35" s="50" t="n"/>
      <c r="Q35" s="49" t="n"/>
      <c r="R35" s="49" t="n"/>
    </row>
    <row r="36">
      <c r="G36" s="48" t="n"/>
      <c r="H36" s="48" t="n"/>
      <c r="I36" s="48" t="n"/>
      <c r="J36" s="48" t="n"/>
      <c r="K36" s="48" t="n"/>
      <c r="L36" s="48" t="n"/>
      <c r="N36" s="49" t="n"/>
      <c r="O36" s="50" t="n"/>
      <c r="P36" s="50" t="n"/>
      <c r="Q36" s="51" t="n"/>
      <c r="R36" s="49" t="n"/>
    </row>
    <row r="37">
      <c r="O37" s="52" t="n"/>
      <c r="Q37" s="52" t="n"/>
    </row>
    <row r="38" ht="14.25" customHeight="1" thickBot="1">
      <c r="A38" s="53" t="n"/>
    </row>
    <row r="39" ht="54" customHeight="1">
      <c r="G39" s="96" t="inlineStr">
        <is>
          <t>Tipo horas</t>
        </is>
      </c>
      <c r="H39" s="89" t="n"/>
      <c r="I39" s="54" t="inlineStr">
        <is>
          <t>No horas</t>
        </is>
      </c>
      <c r="J39" s="54" t="inlineStr">
        <is>
          <t>No. minutos</t>
        </is>
      </c>
      <c r="K39" s="55" t="inlineStr">
        <is>
          <t>Valor x  hora  US$</t>
        </is>
      </c>
      <c r="L39" s="54" t="inlineStr">
        <is>
          <t xml:space="preserve"> Recargo</t>
        </is>
      </c>
      <c r="M39" s="56" t="inlineStr">
        <is>
          <t>Valor x  hora con recargo                     US$</t>
        </is>
      </c>
      <c r="N39" s="57" t="inlineStr">
        <is>
          <t>Valor        horas          US$</t>
        </is>
      </c>
      <c r="O39" s="58" t="inlineStr">
        <is>
          <t>Valor        minutos          US$</t>
        </is>
      </c>
      <c r="P39" s="59" t="inlineStr">
        <is>
          <t>Valor total US$</t>
        </is>
      </c>
    </row>
    <row r="40">
      <c r="A40" s="60" t="n"/>
      <c r="G40" s="29" t="inlineStr">
        <is>
          <t>Horas nocturnas</t>
        </is>
      </c>
      <c r="H40" s="29" t="n"/>
      <c r="I40" s="61" t="n"/>
      <c r="J40" s="61" t="n"/>
      <c r="K40" s="97" t="n">
        <v>2.0083</v>
      </c>
      <c r="L40" s="98" t="n">
        <v>0.25</v>
      </c>
      <c r="M40" s="99">
        <f>+K40*L40</f>
        <v/>
      </c>
      <c r="N40" s="64">
        <f>+I40*M40</f>
        <v/>
      </c>
      <c r="O40" s="61">
        <f>(+M40/60)*J40</f>
        <v/>
      </c>
      <c r="P40" s="65">
        <f>+N40+O40</f>
        <v/>
      </c>
    </row>
    <row r="41">
      <c r="A41" s="53" t="n"/>
      <c r="G41" s="29" t="inlineStr">
        <is>
          <t>Horas suplemenarias</t>
        </is>
      </c>
      <c r="H41" s="29" t="n"/>
      <c r="I41" s="61" t="n">
        <v>11</v>
      </c>
      <c r="J41" s="61" t="n">
        <v>59</v>
      </c>
      <c r="K41" s="97" t="n">
        <v>2.0083</v>
      </c>
      <c r="L41" s="98" t="n">
        <v>1.5</v>
      </c>
      <c r="M41" s="99">
        <f>+K41*L41</f>
        <v/>
      </c>
      <c r="N41" s="64">
        <f>+I41*M41</f>
        <v/>
      </c>
      <c r="O41" s="61">
        <f>(+M41/60)*J41</f>
        <v/>
      </c>
      <c r="P41" s="65">
        <f>+N41+O41</f>
        <v/>
      </c>
    </row>
    <row r="42">
      <c r="G42" s="29" t="inlineStr">
        <is>
          <t>Horas extraordinarias</t>
        </is>
      </c>
      <c r="H42" s="29" t="n"/>
      <c r="I42" s="61" t="n">
        <v>55</v>
      </c>
      <c r="J42" s="61" t="n">
        <v>12</v>
      </c>
      <c r="K42" s="97" t="n">
        <v>2.0083</v>
      </c>
      <c r="L42" s="98" t="n">
        <v>2</v>
      </c>
      <c r="M42" s="99">
        <f>+K42*L42</f>
        <v/>
      </c>
      <c r="N42" s="64">
        <f>+I42*M42</f>
        <v/>
      </c>
      <c r="O42" s="61">
        <f>(+M42/60)*J42</f>
        <v/>
      </c>
      <c r="P42" s="65">
        <f>+N42+O42</f>
        <v/>
      </c>
      <c r="Q42" s="6" t="inlineStr">
        <is>
          <t xml:space="preserve">     _____________________________</t>
        </is>
      </c>
    </row>
    <row r="43" ht="14.25" customHeight="1" thickBot="1">
      <c r="L43" s="29" t="inlineStr">
        <is>
          <t>Total</t>
        </is>
      </c>
      <c r="M43" s="66" t="n"/>
      <c r="N43" s="67">
        <f>SUM(N40:N42)</f>
        <v/>
      </c>
      <c r="O43" s="67">
        <f>SUM(O40:O42)</f>
        <v/>
      </c>
      <c r="P43" s="68">
        <f>SUM(P40:P42)</f>
        <v/>
      </c>
      <c r="Q43" s="76" t="inlineStr">
        <is>
          <t>FIRMA CONFORME</t>
        </is>
      </c>
    </row>
    <row r="44"/>
  </sheetData>
  <mergeCells count="11">
    <mergeCell ref="Q43:R43"/>
    <mergeCell ref="G6:L6"/>
    <mergeCell ref="G39:H39"/>
    <mergeCell ref="E6:E7"/>
    <mergeCell ref="C6:C7"/>
    <mergeCell ref="A6:A7"/>
    <mergeCell ref="F6:F7"/>
    <mergeCell ref="D6:D7"/>
    <mergeCell ref="B6:B7"/>
    <mergeCell ref="P2:P3"/>
    <mergeCell ref="M6:R6"/>
  </mergeCells>
  <pageMargins left="0.7086614173228347" right="0.7086614173228347" top="0.7480314960629921" bottom="0.7480314960629921" header="0.3149606299212598" footer="0.3149606299212598"/>
  <pageSetup orientation="landscape" scale="61" horizontalDpi="4294967293" verticalDpi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2014-07-31T17:22:36Z</dcterms:created>
  <dcterms:modified xsi:type="dcterms:W3CDTF">2026-07-05T15:21:37Z</dcterms:modified>
  <cp:lastModifiedBy>PAN CASERO</cp:lastModifiedBy>
  <cp:lastPrinted>2026-06-01T14:42:34Z</cp:lastPrinted>
</cp:coreProperties>
</file>