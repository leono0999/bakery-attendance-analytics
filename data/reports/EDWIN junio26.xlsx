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1" autoFilterDateGrouping="1"/>
  </bookViews>
  <sheets>
    <sheet name="junio" sheetId="1" state="visible" r:id="rId1"/>
    <sheet name="CALCULO 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* #,##0.000_-;\-* #,##0.000_-;_-* &quot;-&quot;??_-;_-@_-"/>
    <numFmt numFmtId="166" formatCode="dd/mm/yyyy"/>
    <numFmt numFmtId="167" formatCode="hh:mm:ss"/>
  </numFmts>
  <fonts count="9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Malgun Gothic"/>
      <family val="2"/>
      <sz val="9"/>
    </font>
    <font>
      <name val="Malgun Gothic"/>
      <family val="2"/>
      <sz val="8"/>
    </font>
    <font>
      <name val="Malgun Gothic"/>
      <family val="2"/>
      <sz val="10"/>
    </font>
    <font>
      <name val="Tahoma"/>
      <family val="2"/>
      <sz val="8"/>
    </font>
    <font>
      <name val="Tahoma"/>
      <charset val="1"/>
      <sz val="8"/>
    </font>
    <font>
      <name val="Malgun Gothic"/>
      <family val="2"/>
      <color theme="0"/>
      <sz val="9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FFFF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1" fillId="0" borderId="0"/>
  </cellStyleXfs>
  <cellXfs count="8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 vertical="center"/>
    </xf>
    <xf numFmtId="21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wrapText="1"/>
    </xf>
    <xf numFmtId="0" fontId="3" fillId="0" borderId="2" applyAlignment="1" pivotButton="0" quotePrefix="0" xfId="1">
      <alignment horizontal="center"/>
    </xf>
    <xf numFmtId="14" fontId="5" fillId="0" borderId="2" applyAlignment="1" pivotButton="0" quotePrefix="0" xfId="0">
      <alignment horizontal="left"/>
    </xf>
    <xf numFmtId="21" fontId="5" fillId="0" borderId="2" pivotButton="0" quotePrefix="0" xfId="0"/>
    <xf numFmtId="20" fontId="5" fillId="0" borderId="2" applyAlignment="1" pivotButton="0" quotePrefix="0" xfId="0">
      <alignment horizontal="center"/>
    </xf>
    <xf numFmtId="20" fontId="5" fillId="0" borderId="2" applyAlignment="1" pivotButton="0" quotePrefix="0" xfId="0">
      <alignment horizontal="center" vertical="center"/>
    </xf>
    <xf numFmtId="21" fontId="5" fillId="2" borderId="2" applyAlignment="1" pivotButton="0" quotePrefix="0" xfId="0">
      <alignment horizontal="center"/>
    </xf>
    <xf numFmtId="46" fontId="5" fillId="2" borderId="2" pivotButton="0" quotePrefix="0" xfId="0"/>
    <xf numFmtId="20" fontId="5" fillId="0" borderId="2" applyAlignment="1" pivotButton="0" quotePrefix="0" xfId="0">
      <alignment horizontal="center" wrapText="1"/>
    </xf>
    <xf numFmtId="21" fontId="5" fillId="2" borderId="2" pivotButton="0" quotePrefix="0" xfId="0"/>
    <xf numFmtId="49" fontId="3" fillId="0" borderId="0" applyAlignment="1" pivotButton="0" quotePrefix="0" xfId="0">
      <alignment horizontal="left" vertical="top"/>
    </xf>
    <xf numFmtId="0" fontId="3" fillId="3" borderId="2" applyAlignment="1" pivotButton="0" quotePrefix="0" xfId="1">
      <alignment horizontal="center"/>
    </xf>
    <xf numFmtId="14" fontId="5" fillId="3" borderId="2" applyAlignment="1" pivotButton="0" quotePrefix="0" xfId="0">
      <alignment horizontal="left"/>
    </xf>
    <xf numFmtId="21" fontId="5" fillId="3" borderId="2" pivotButton="0" quotePrefix="0" xfId="0"/>
    <xf numFmtId="20" fontId="5" fillId="3" borderId="2" applyAlignment="1" pivotButton="0" quotePrefix="0" xfId="0">
      <alignment horizontal="center"/>
    </xf>
    <xf numFmtId="20" fontId="5" fillId="3" borderId="2" applyAlignment="1" pivotButton="0" quotePrefix="0" xfId="0">
      <alignment horizontal="center" vertical="center"/>
    </xf>
    <xf numFmtId="21" fontId="5" fillId="3" borderId="2" applyAlignment="1" pivotButton="0" quotePrefix="0" xfId="0">
      <alignment horizontal="center"/>
    </xf>
    <xf numFmtId="46" fontId="5" fillId="3" borderId="2" pivotButton="0" quotePrefix="0" xfId="0"/>
    <xf numFmtId="20" fontId="5" fillId="3" borderId="2" applyAlignment="1" pivotButton="0" quotePrefix="0" xfId="0">
      <alignment horizontal="center" wrapText="1"/>
    </xf>
    <xf numFmtId="20" fontId="5" fillId="2" borderId="2" applyAlignment="1" pivotButton="0" quotePrefix="0" xfId="0">
      <alignment horizontal="center" vertical="center"/>
    </xf>
    <xf numFmtId="20" fontId="5" fillId="2" borderId="2" applyAlignment="1" pivotButton="0" quotePrefix="0" xfId="0">
      <alignment horizontal="center"/>
    </xf>
    <xf numFmtId="0" fontId="3" fillId="0" borderId="0" applyAlignment="1" pivotButton="0" quotePrefix="0" xfId="1">
      <alignment horizontal="center"/>
    </xf>
    <xf numFmtId="0" fontId="5" fillId="0" borderId="0" pivotButton="0" quotePrefix="0" xfId="0"/>
    <xf numFmtId="2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46" fontId="5" fillId="0" borderId="6" applyAlignment="1" pivotButton="0" quotePrefix="0" xfId="0">
      <alignment horizontal="center"/>
    </xf>
    <xf numFmtId="49" fontId="3" fillId="0" borderId="0" pivotButton="0" quotePrefix="0" xfId="0"/>
    <xf numFmtId="20" fontId="4" fillId="0" borderId="0" applyAlignment="1" pivotButton="0" quotePrefix="0" xfId="0">
      <alignment horizontal="center"/>
    </xf>
    <xf numFmtId="21" fontId="3" fillId="0" borderId="0" pivotButton="0" quotePrefix="0" xfId="0"/>
    <xf numFmtId="49" fontId="3" fillId="0" borderId="0" applyAlignment="1" pivotButton="0" quotePrefix="0" xfId="0">
      <alignment horizontal="left"/>
    </xf>
    <xf numFmtId="0" fontId="3" fillId="0" borderId="3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46" fontId="3" fillId="0" borderId="0" pivotButton="0" quotePrefix="0" xfId="0"/>
    <xf numFmtId="49" fontId="3" fillId="0" borderId="0" applyAlignment="1" pivotButton="0" quotePrefix="0" xfId="0">
      <alignment horizontal="center" wrapText="1"/>
    </xf>
    <xf numFmtId="164" fontId="3" fillId="0" borderId="2" pivotButton="0" quotePrefix="0" xfId="2"/>
    <xf numFmtId="165" fontId="3" fillId="0" borderId="2" pivotButton="0" quotePrefix="0" xfId="2"/>
    <xf numFmtId="164" fontId="3" fillId="0" borderId="3" pivotButton="0" quotePrefix="0" xfId="0"/>
    <xf numFmtId="2" fontId="3" fillId="0" borderId="4" pivotButton="0" quotePrefix="0" xfId="2"/>
    <xf numFmtId="2" fontId="3" fillId="0" borderId="2" pivotButton="0" quotePrefix="0" xfId="0"/>
    <xf numFmtId="2" fontId="3" fillId="0" borderId="5" pivotButton="0" quotePrefix="0" xfId="0"/>
    <xf numFmtId="49" fontId="3" fillId="0" borderId="0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2" pivotButton="0" quotePrefix="0" xfId="0"/>
    <xf numFmtId="0" fontId="3" fillId="0" borderId="3" pivotButton="0" quotePrefix="0" xfId="0"/>
    <xf numFmtId="2" fontId="3" fillId="0" borderId="11" pivotButton="0" quotePrefix="0" xfId="0"/>
    <xf numFmtId="2" fontId="3" fillId="0" borderId="12" pivotButton="0" quotePrefix="0" xfId="0"/>
    <xf numFmtId="2" fontId="3" fillId="0" borderId="0" pivotButton="0" quotePrefix="0" xfId="0"/>
    <xf numFmtId="20" fontId="3" fillId="0" borderId="0" applyAlignment="1" pivotButton="0" quotePrefix="0" xfId="0">
      <alignment horizontal="center" vertical="center"/>
    </xf>
    <xf numFmtId="0" fontId="6" fillId="0" borderId="0" pivotButton="0" quotePrefix="0" xfId="0"/>
    <xf numFmtId="49" fontId="7" fillId="4" borderId="14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21" fontId="8" fillId="0" borderId="0" applyAlignment="1" pivotButton="0" quotePrefix="0" xfId="0">
      <alignment horizontal="center"/>
    </xf>
    <xf numFmtId="21" fontId="8" fillId="0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 wrapText="1"/>
    </xf>
    <xf numFmtId="0" fontId="3" fillId="0" borderId="2" applyAlignment="1" pivotButton="0" quotePrefix="0" xfId="1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2" applyAlignment="1" pivotButton="0" quotePrefix="0" xfId="1">
      <alignment horizontal="center" vertical="center" wrapText="1"/>
    </xf>
    <xf numFmtId="0" fontId="0" fillId="0" borderId="18" pivotButton="0" quotePrefix="0" xfId="0"/>
    <xf numFmtId="0" fontId="0" fillId="0" borderId="1" pivotButton="0" quotePrefix="0" xfId="0"/>
    <xf numFmtId="0" fontId="0" fillId="0" borderId="6" pivotButton="0" quotePrefix="0" xfId="0"/>
    <xf numFmtId="166" fontId="5" fillId="0" borderId="2" applyAlignment="1" pivotButton="0" quotePrefix="0" xfId="0">
      <alignment horizontal="left"/>
    </xf>
    <xf numFmtId="167" fontId="5" fillId="2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167" fontId="5" fillId="2" borderId="2" applyAlignment="1" pivotButton="0" quotePrefix="0" xfId="0">
      <alignment horizontal="center"/>
    </xf>
    <xf numFmtId="167" fontId="5" fillId="0" borderId="2" applyAlignment="1" pivotButton="0" quotePrefix="0" xfId="0">
      <alignment horizontal="center"/>
    </xf>
    <xf numFmtId="166" fontId="5" fillId="3" borderId="2" applyAlignment="1" pivotButton="0" quotePrefix="0" xfId="0">
      <alignment horizontal="left"/>
    </xf>
    <xf numFmtId="167" fontId="5" fillId="3" borderId="2" applyAlignment="1" pivotButton="0" quotePrefix="0" xfId="0">
      <alignment horizontal="center"/>
    </xf>
    <xf numFmtId="167" fontId="5" fillId="3" borderId="2" applyAlignment="1" pivotButton="0" quotePrefix="0" xfId="0">
      <alignment horizontal="center" vertical="center"/>
    </xf>
    <xf numFmtId="164" fontId="3" fillId="0" borderId="2" pivotButton="0" quotePrefix="0" xfId="2"/>
    <xf numFmtId="165" fontId="3" fillId="0" borderId="2" pivotButton="0" quotePrefix="0" xfId="2"/>
    <xf numFmtId="164" fontId="3" fillId="0" borderId="3" pivotButton="0" quotePrefix="0" xfId="0"/>
    <xf numFmtId="0" fontId="0" fillId="0" borderId="13" pivotButton="0" quotePrefix="0" xfId="0"/>
  </cellXfs>
  <cellStyles count="3">
    <cellStyle name="Normal" xfId="0" builtinId="0"/>
    <cellStyle name="Normal 2" xfId="1"/>
    <cellStyle name="Millares" xfId="2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6"/>
  <sheetViews>
    <sheetView workbookViewId="0">
      <selection activeCell="G11" sqref="G11"/>
    </sheetView>
  </sheetViews>
  <sheetFormatPr baseColWidth="10" defaultRowHeight="10.5"/>
  <cols>
    <col width="11.42578125" customWidth="1" style="57" min="1" max="1"/>
    <col width="16" customWidth="1" style="57" min="2" max="2"/>
    <col width="18.7109375" customWidth="1" style="57" min="3" max="3"/>
    <col width="19" customWidth="1" style="57" min="4" max="4"/>
    <col width="11.42578125" customWidth="1" style="57" min="5" max="208"/>
    <col width="20" customWidth="1" style="57" min="209" max="209"/>
    <col width="11.42578125" customWidth="1" style="57" min="210" max="464"/>
    <col width="20" customWidth="1" style="57" min="465" max="465"/>
    <col width="11.42578125" customWidth="1" style="57" min="466" max="720"/>
    <col width="20" customWidth="1" style="57" min="721" max="721"/>
    <col width="11.42578125" customWidth="1" style="57" min="722" max="976"/>
    <col width="20" customWidth="1" style="57" min="977" max="977"/>
    <col width="11.42578125" customWidth="1" style="57" min="978" max="1232"/>
    <col width="20" customWidth="1" style="57" min="1233" max="1233"/>
    <col width="11.42578125" customWidth="1" style="57" min="1234" max="1488"/>
    <col width="20" customWidth="1" style="57" min="1489" max="1489"/>
    <col width="11.42578125" customWidth="1" style="57" min="1490" max="1744"/>
    <col width="20" customWidth="1" style="57" min="1745" max="1745"/>
    <col width="11.42578125" customWidth="1" style="57" min="1746" max="2000"/>
    <col width="20" customWidth="1" style="57" min="2001" max="2001"/>
    <col width="11.42578125" customWidth="1" style="57" min="2002" max="2256"/>
    <col width="20" customWidth="1" style="57" min="2257" max="2257"/>
    <col width="11.42578125" customWidth="1" style="57" min="2258" max="2512"/>
    <col width="20" customWidth="1" style="57" min="2513" max="2513"/>
    <col width="11.42578125" customWidth="1" style="57" min="2514" max="2768"/>
    <col width="20" customWidth="1" style="57" min="2769" max="2769"/>
    <col width="11.42578125" customWidth="1" style="57" min="2770" max="3024"/>
    <col width="20" customWidth="1" style="57" min="3025" max="3025"/>
    <col width="11.42578125" customWidth="1" style="57" min="3026" max="3280"/>
    <col width="20" customWidth="1" style="57" min="3281" max="3281"/>
    <col width="11.42578125" customWidth="1" style="57" min="3282" max="3536"/>
    <col width="20" customWidth="1" style="57" min="3537" max="3537"/>
    <col width="11.42578125" customWidth="1" style="57" min="3538" max="3792"/>
    <col width="20" customWidth="1" style="57" min="3793" max="3793"/>
    <col width="11.42578125" customWidth="1" style="57" min="3794" max="4048"/>
    <col width="20" customWidth="1" style="57" min="4049" max="4049"/>
    <col width="11.42578125" customWidth="1" style="57" min="4050" max="4304"/>
    <col width="20" customWidth="1" style="57" min="4305" max="4305"/>
    <col width="11.42578125" customWidth="1" style="57" min="4306" max="4560"/>
    <col width="20" customWidth="1" style="57" min="4561" max="4561"/>
    <col width="11.42578125" customWidth="1" style="57" min="4562" max="4816"/>
    <col width="20" customWidth="1" style="57" min="4817" max="4817"/>
    <col width="11.42578125" customWidth="1" style="57" min="4818" max="5072"/>
    <col width="20" customWidth="1" style="57" min="5073" max="5073"/>
    <col width="11.42578125" customWidth="1" style="57" min="5074" max="5328"/>
    <col width="20" customWidth="1" style="57" min="5329" max="5329"/>
    <col width="11.42578125" customWidth="1" style="57" min="5330" max="5584"/>
    <col width="20" customWidth="1" style="57" min="5585" max="5585"/>
    <col width="11.42578125" customWidth="1" style="57" min="5586" max="5840"/>
    <col width="20" customWidth="1" style="57" min="5841" max="5841"/>
    <col width="11.42578125" customWidth="1" style="57" min="5842" max="6096"/>
    <col width="20" customWidth="1" style="57" min="6097" max="6097"/>
    <col width="11.42578125" customWidth="1" style="57" min="6098" max="6352"/>
    <col width="20" customWidth="1" style="57" min="6353" max="6353"/>
    <col width="11.42578125" customWidth="1" style="57" min="6354" max="6608"/>
    <col width="20" customWidth="1" style="57" min="6609" max="6609"/>
    <col width="11.42578125" customWidth="1" style="57" min="6610" max="6864"/>
    <col width="20" customWidth="1" style="57" min="6865" max="6865"/>
    <col width="11.42578125" customWidth="1" style="57" min="6866" max="7120"/>
    <col width="20" customWidth="1" style="57" min="7121" max="7121"/>
    <col width="11.42578125" customWidth="1" style="57" min="7122" max="7376"/>
    <col width="20" customWidth="1" style="57" min="7377" max="7377"/>
    <col width="11.42578125" customWidth="1" style="57" min="7378" max="7632"/>
    <col width="20" customWidth="1" style="57" min="7633" max="7633"/>
    <col width="11.42578125" customWidth="1" style="57" min="7634" max="7888"/>
    <col width="20" customWidth="1" style="57" min="7889" max="7889"/>
    <col width="11.42578125" customWidth="1" style="57" min="7890" max="8144"/>
    <col width="20" customWidth="1" style="57" min="8145" max="8145"/>
    <col width="11.42578125" customWidth="1" style="57" min="8146" max="8400"/>
    <col width="20" customWidth="1" style="57" min="8401" max="8401"/>
    <col width="11.42578125" customWidth="1" style="57" min="8402" max="8656"/>
    <col width="20" customWidth="1" style="57" min="8657" max="8657"/>
    <col width="11.42578125" customWidth="1" style="57" min="8658" max="8912"/>
    <col width="20" customWidth="1" style="57" min="8913" max="8913"/>
    <col width="11.42578125" customWidth="1" style="57" min="8914" max="9168"/>
    <col width="20" customWidth="1" style="57" min="9169" max="9169"/>
    <col width="11.42578125" customWidth="1" style="57" min="9170" max="9424"/>
    <col width="20" customWidth="1" style="57" min="9425" max="9425"/>
    <col width="11.42578125" customWidth="1" style="57" min="9426" max="9680"/>
    <col width="20" customWidth="1" style="57" min="9681" max="9681"/>
    <col width="11.42578125" customWidth="1" style="57" min="9682" max="9936"/>
    <col width="20" customWidth="1" style="57" min="9937" max="9937"/>
    <col width="11.42578125" customWidth="1" style="57" min="9938" max="10192"/>
    <col width="20" customWidth="1" style="57" min="10193" max="10193"/>
    <col width="11.42578125" customWidth="1" style="57" min="10194" max="10448"/>
    <col width="20" customWidth="1" style="57" min="10449" max="10449"/>
    <col width="11.42578125" customWidth="1" style="57" min="10450" max="10704"/>
    <col width="20" customWidth="1" style="57" min="10705" max="10705"/>
    <col width="11.42578125" customWidth="1" style="57" min="10706" max="10960"/>
    <col width="20" customWidth="1" style="57" min="10961" max="10961"/>
    <col width="11.42578125" customWidth="1" style="57" min="10962" max="11216"/>
    <col width="20" customWidth="1" style="57" min="11217" max="11217"/>
    <col width="11.42578125" customWidth="1" style="57" min="11218" max="11472"/>
    <col width="20" customWidth="1" style="57" min="11473" max="11473"/>
    <col width="11.42578125" customWidth="1" style="57" min="11474" max="11728"/>
    <col width="20" customWidth="1" style="57" min="11729" max="11729"/>
    <col width="11.42578125" customWidth="1" style="57" min="11730" max="11984"/>
    <col width="20" customWidth="1" style="57" min="11985" max="11985"/>
    <col width="11.42578125" customWidth="1" style="57" min="11986" max="12240"/>
    <col width="20" customWidth="1" style="57" min="12241" max="12241"/>
    <col width="11.42578125" customWidth="1" style="57" min="12242" max="12496"/>
    <col width="20" customWidth="1" style="57" min="12497" max="12497"/>
    <col width="11.42578125" customWidth="1" style="57" min="12498" max="12752"/>
    <col width="20" customWidth="1" style="57" min="12753" max="12753"/>
    <col width="11.42578125" customWidth="1" style="57" min="12754" max="13008"/>
    <col width="20" customWidth="1" style="57" min="13009" max="13009"/>
    <col width="11.42578125" customWidth="1" style="57" min="13010" max="13264"/>
    <col width="20" customWidth="1" style="57" min="13265" max="13265"/>
    <col width="11.42578125" customWidth="1" style="57" min="13266" max="13520"/>
    <col width="20" customWidth="1" style="57" min="13521" max="13521"/>
    <col width="11.42578125" customWidth="1" style="57" min="13522" max="13776"/>
    <col width="20" customWidth="1" style="57" min="13777" max="13777"/>
    <col width="11.42578125" customWidth="1" style="57" min="13778" max="14032"/>
    <col width="20" customWidth="1" style="57" min="14033" max="14033"/>
    <col width="11.42578125" customWidth="1" style="57" min="14034" max="14288"/>
    <col width="20" customWidth="1" style="57" min="14289" max="14289"/>
    <col width="11.42578125" customWidth="1" style="57" min="14290" max="14544"/>
    <col width="20" customWidth="1" style="57" min="14545" max="14545"/>
    <col width="11.42578125" customWidth="1" style="57" min="14546" max="14800"/>
    <col width="20" customWidth="1" style="57" min="14801" max="14801"/>
    <col width="11.42578125" customWidth="1" style="57" min="14802" max="15056"/>
    <col width="20" customWidth="1" style="57" min="15057" max="15057"/>
    <col width="11.42578125" customWidth="1" style="57" min="15058" max="15312"/>
    <col width="20" customWidth="1" style="57" min="15313" max="15313"/>
    <col width="11.42578125" customWidth="1" style="57" min="15314" max="15568"/>
    <col width="20" customWidth="1" style="57" min="15569" max="15569"/>
    <col width="11.42578125" customWidth="1" style="57" min="15570" max="15824"/>
    <col width="20" customWidth="1" style="57" min="15825" max="15825"/>
    <col width="11.42578125" customWidth="1" style="57" min="15826" max="16080"/>
    <col width="20" customWidth="1" style="57" min="16081" max="16081"/>
    <col width="11.42578125" customWidth="1" style="57" min="16082" max="16384"/>
  </cols>
  <sheetData>
    <row r="1" ht="24.75" customHeight="1">
      <c r="A1" s="57" t="inlineStr">
        <is>
          <t>AC-No.</t>
        </is>
      </c>
      <c r="B1" s="57" t="inlineStr">
        <is>
          <t>IMSS/CURP</t>
        </is>
      </c>
      <c r="C1" s="57" t="inlineStr">
        <is>
          <t>Nombre</t>
        </is>
      </c>
      <c r="D1" s="57" t="inlineStr">
        <is>
          <t>Fecha y hora</t>
        </is>
      </c>
    </row>
    <row r="2" ht="20.25" customHeight="1">
      <c r="A2" s="58" t="inlineStr">
        <is>
          <t>4</t>
        </is>
      </c>
      <c r="B2" s="58" t="inlineStr">
        <is>
          <t>EDWIN CH</t>
        </is>
      </c>
      <c r="C2" s="58" t="inlineStr">
        <is>
          <t>01/06/2026 04:21:57</t>
        </is>
      </c>
    </row>
    <row r="3" ht="20.25" customHeight="1">
      <c r="A3" s="58" t="inlineStr">
        <is>
          <t>4</t>
        </is>
      </c>
      <c r="B3" s="58" t="inlineStr">
        <is>
          <t>EDWIN CH</t>
        </is>
      </c>
      <c r="C3" s="58" t="inlineStr">
        <is>
          <t>01/06/2026 12:19:13</t>
        </is>
      </c>
    </row>
    <row r="4" ht="20.25" customHeight="1">
      <c r="A4" s="58" t="inlineStr">
        <is>
          <t>4</t>
        </is>
      </c>
      <c r="B4" s="58" t="inlineStr">
        <is>
          <t>EDWIN CH</t>
        </is>
      </c>
      <c r="C4" s="58" t="inlineStr">
        <is>
          <t>02/06/2026 04:27:58</t>
        </is>
      </c>
    </row>
    <row r="5" ht="20.25" customHeight="1">
      <c r="A5" s="58" t="inlineStr">
        <is>
          <t>4</t>
        </is>
      </c>
      <c r="B5" s="58" t="inlineStr">
        <is>
          <t>EDWIN CH</t>
        </is>
      </c>
      <c r="C5" s="58" t="inlineStr">
        <is>
          <t>02/06/2026 12:07:11</t>
        </is>
      </c>
    </row>
    <row r="6" ht="20.25" customHeight="1">
      <c r="A6" s="58" t="inlineStr">
        <is>
          <t>4</t>
        </is>
      </c>
      <c r="B6" s="58" t="inlineStr">
        <is>
          <t>EDWIN CH</t>
        </is>
      </c>
      <c r="C6" s="58" t="inlineStr">
        <is>
          <t>03/06/2026 04:25:52</t>
        </is>
      </c>
    </row>
    <row r="7" ht="20.25" customHeight="1">
      <c r="A7" s="58" t="inlineStr">
        <is>
          <t>4</t>
        </is>
      </c>
      <c r="B7" s="58" t="inlineStr">
        <is>
          <t>EDWIN CH</t>
        </is>
      </c>
      <c r="C7" s="58" t="inlineStr">
        <is>
          <t>03/06/2026 12:38:22</t>
        </is>
      </c>
    </row>
    <row r="8" ht="20.25" customHeight="1">
      <c r="A8" s="58" t="inlineStr">
        <is>
          <t>4</t>
        </is>
      </c>
      <c r="B8" s="58" t="inlineStr">
        <is>
          <t>EDWIN CH</t>
        </is>
      </c>
      <c r="C8" s="58" t="inlineStr">
        <is>
          <t>04/06/2026 04:27:34</t>
        </is>
      </c>
    </row>
    <row r="9" ht="20.25" customHeight="1">
      <c r="A9" s="58" t="inlineStr">
        <is>
          <t>4</t>
        </is>
      </c>
      <c r="B9" s="58" t="inlineStr">
        <is>
          <t>EDWIN CH</t>
        </is>
      </c>
      <c r="C9" s="58" t="inlineStr">
        <is>
          <t>04/06/2026 12:07:27</t>
        </is>
      </c>
    </row>
    <row r="10" ht="20.25" customHeight="1">
      <c r="A10" s="58" t="inlineStr">
        <is>
          <t>4</t>
        </is>
      </c>
      <c r="B10" s="58" t="inlineStr">
        <is>
          <t>EDWIN CH</t>
        </is>
      </c>
      <c r="C10" s="58" t="inlineStr">
        <is>
          <t>05/06/2026 04:23:16</t>
        </is>
      </c>
    </row>
    <row r="11" ht="20.25" customHeight="1">
      <c r="A11" s="58" t="inlineStr">
        <is>
          <t>4</t>
        </is>
      </c>
      <c r="B11" s="58" t="inlineStr">
        <is>
          <t>EDWIN CH</t>
        </is>
      </c>
      <c r="C11" s="58" t="inlineStr">
        <is>
          <t>05/06/2026 12:38:13</t>
        </is>
      </c>
    </row>
    <row r="12" ht="20.25" customHeight="1">
      <c r="A12" s="58" t="inlineStr">
        <is>
          <t>4</t>
        </is>
      </c>
      <c r="B12" s="58" t="inlineStr">
        <is>
          <t>EDWIN CH</t>
        </is>
      </c>
      <c r="C12" s="58" t="inlineStr">
        <is>
          <t>06/06/2026 04:13:42</t>
        </is>
      </c>
    </row>
    <row r="13" ht="20.25" customHeight="1">
      <c r="A13" s="58" t="inlineStr">
        <is>
          <t>4</t>
        </is>
      </c>
      <c r="B13" s="58" t="inlineStr">
        <is>
          <t>EDWIN CH</t>
        </is>
      </c>
      <c r="C13" s="58" t="inlineStr">
        <is>
          <t>06/06/2026 12:46:29</t>
        </is>
      </c>
    </row>
    <row r="14" ht="20.25" customHeight="1">
      <c r="A14" s="58" t="inlineStr">
        <is>
          <t>4</t>
        </is>
      </c>
      <c r="B14" s="58" t="inlineStr">
        <is>
          <t>EDWIN CH</t>
        </is>
      </c>
      <c r="C14" s="58" t="inlineStr">
        <is>
          <t>08/06/2026 04:28:58</t>
        </is>
      </c>
    </row>
    <row r="15" ht="20.25" customHeight="1">
      <c r="A15" s="58" t="inlineStr">
        <is>
          <t>4</t>
        </is>
      </c>
      <c r="B15" s="58" t="inlineStr">
        <is>
          <t>EDWIN CH</t>
        </is>
      </c>
      <c r="C15" s="58" t="inlineStr">
        <is>
          <t>08/06/2026 12:25:58</t>
        </is>
      </c>
    </row>
    <row r="16" ht="20.25" customHeight="1">
      <c r="A16" s="58" t="inlineStr">
        <is>
          <t>4</t>
        </is>
      </c>
      <c r="B16" s="58" t="inlineStr">
        <is>
          <t>EDWIN CH</t>
        </is>
      </c>
      <c r="C16" s="58" t="inlineStr">
        <is>
          <t>09/06/2026 04:30:40</t>
        </is>
      </c>
    </row>
    <row r="17" ht="20.25" customHeight="1">
      <c r="A17" s="58" t="inlineStr">
        <is>
          <t>4</t>
        </is>
      </c>
      <c r="B17" s="58" t="inlineStr">
        <is>
          <t>EDWIN CH</t>
        </is>
      </c>
      <c r="C17" s="58" t="inlineStr">
        <is>
          <t>09/06/2026 12:38:41</t>
        </is>
      </c>
    </row>
    <row r="18" ht="20.25" customHeight="1">
      <c r="A18" s="58" t="inlineStr">
        <is>
          <t>4</t>
        </is>
      </c>
      <c r="B18" s="58" t="inlineStr">
        <is>
          <t>EDWIN CH</t>
        </is>
      </c>
      <c r="C18" s="58" t="inlineStr">
        <is>
          <t>10/06/2026 04:29:01</t>
        </is>
      </c>
    </row>
    <row r="19" ht="20.25" customHeight="1">
      <c r="A19" s="58" t="inlineStr">
        <is>
          <t>4</t>
        </is>
      </c>
      <c r="B19" s="58" t="inlineStr">
        <is>
          <t>EDWIN CH</t>
        </is>
      </c>
      <c r="C19" s="58" t="inlineStr">
        <is>
          <t>10/06/2026 13:02:20</t>
        </is>
      </c>
    </row>
    <row r="20" ht="20.25" customHeight="1">
      <c r="A20" s="58" t="inlineStr">
        <is>
          <t>4</t>
        </is>
      </c>
      <c r="B20" s="58" t="inlineStr">
        <is>
          <t>EDWIN CH</t>
        </is>
      </c>
      <c r="C20" s="58" t="inlineStr">
        <is>
          <t>11/06/2026 04:28:49</t>
        </is>
      </c>
    </row>
    <row r="21" ht="20.25" customHeight="1">
      <c r="A21" s="58" t="inlineStr">
        <is>
          <t>4</t>
        </is>
      </c>
      <c r="B21" s="58" t="inlineStr">
        <is>
          <t>EDWIN CH</t>
        </is>
      </c>
      <c r="C21" s="58" t="inlineStr">
        <is>
          <t>11/06/2026 12:12:52</t>
        </is>
      </c>
    </row>
    <row r="22" ht="20.25" customHeight="1">
      <c r="A22" s="58" t="inlineStr">
        <is>
          <t>4</t>
        </is>
      </c>
      <c r="B22" s="58" t="inlineStr">
        <is>
          <t>EDWIN CH</t>
        </is>
      </c>
      <c r="C22" s="58" t="inlineStr">
        <is>
          <t>12/06/2026 04:29:25</t>
        </is>
      </c>
    </row>
    <row r="23" ht="20.25" customHeight="1">
      <c r="A23" s="58" t="inlineStr">
        <is>
          <t>4</t>
        </is>
      </c>
      <c r="B23" s="58" t="inlineStr">
        <is>
          <t>EDWIN CH</t>
        </is>
      </c>
      <c r="C23" s="58" t="inlineStr">
        <is>
          <t>12/06/2026 12:56:27</t>
        </is>
      </c>
    </row>
    <row r="24" ht="20.25" customHeight="1">
      <c r="A24" s="58" t="inlineStr">
        <is>
          <t>4</t>
        </is>
      </c>
      <c r="B24" s="58" t="inlineStr">
        <is>
          <t>EDWIN CH</t>
        </is>
      </c>
      <c r="C24" s="58" t="inlineStr">
        <is>
          <t>13/06/2026 04:03:01</t>
        </is>
      </c>
    </row>
    <row r="25" ht="20.25" customHeight="1">
      <c r="A25" s="58" t="inlineStr">
        <is>
          <t>4</t>
        </is>
      </c>
      <c r="B25" s="58" t="inlineStr">
        <is>
          <t>EDWIN CH</t>
        </is>
      </c>
      <c r="C25" s="58" t="inlineStr">
        <is>
          <t>13/06/2026 12:58:23</t>
        </is>
      </c>
    </row>
    <row r="26" ht="20.25" customHeight="1">
      <c r="A26" s="58" t="inlineStr">
        <is>
          <t>4</t>
        </is>
      </c>
      <c r="B26" s="58" t="inlineStr">
        <is>
          <t>EDWIN CH</t>
        </is>
      </c>
      <c r="C26" s="58" t="inlineStr">
        <is>
          <t>15/06/2026 04:22:27</t>
        </is>
      </c>
    </row>
    <row r="27" ht="20.25" customHeight="1">
      <c r="A27" s="58" t="inlineStr">
        <is>
          <t>4</t>
        </is>
      </c>
      <c r="B27" s="58" t="inlineStr">
        <is>
          <t>EDWIN CH</t>
        </is>
      </c>
      <c r="C27" s="58" t="inlineStr">
        <is>
          <t>15/06/2026 12:20:58</t>
        </is>
      </c>
    </row>
    <row r="28" ht="20.25" customHeight="1">
      <c r="A28" s="58" t="inlineStr">
        <is>
          <t>4</t>
        </is>
      </c>
      <c r="B28" s="58" t="inlineStr">
        <is>
          <t>EDWIN CH</t>
        </is>
      </c>
      <c r="C28" s="58" t="inlineStr">
        <is>
          <t>16/06/2026 04:27:46</t>
        </is>
      </c>
    </row>
    <row r="29" ht="20.25" customHeight="1">
      <c r="A29" s="58" t="inlineStr">
        <is>
          <t>4</t>
        </is>
      </c>
      <c r="B29" s="58" t="inlineStr">
        <is>
          <t>EDWIN CH</t>
        </is>
      </c>
      <c r="C29" s="58" t="inlineStr">
        <is>
          <t>16/06/2026 11:54:08</t>
        </is>
      </c>
    </row>
    <row r="30" ht="20.25" customHeight="1">
      <c r="A30" s="58" t="inlineStr">
        <is>
          <t>4</t>
        </is>
      </c>
      <c r="B30" s="58" t="inlineStr">
        <is>
          <t>EDWIN CH</t>
        </is>
      </c>
      <c r="C30" s="58" t="inlineStr">
        <is>
          <t>17/06/2026 04:29:16</t>
        </is>
      </c>
    </row>
    <row r="31" ht="20.25" customHeight="1">
      <c r="A31" s="58" t="inlineStr">
        <is>
          <t>4</t>
        </is>
      </c>
      <c r="B31" s="58" t="inlineStr">
        <is>
          <t>EDWIN CH</t>
        </is>
      </c>
      <c r="C31" s="58" t="inlineStr">
        <is>
          <t>17/06/2026 13:53:59</t>
        </is>
      </c>
    </row>
    <row r="32" ht="20.25" customHeight="1">
      <c r="A32" s="58" t="inlineStr">
        <is>
          <t>4</t>
        </is>
      </c>
      <c r="B32" s="58" t="inlineStr">
        <is>
          <t>EDWIN CH</t>
        </is>
      </c>
      <c r="C32" s="58" t="inlineStr">
        <is>
          <t>17/06/2026 13:55:06</t>
        </is>
      </c>
    </row>
    <row r="33" ht="20.25" customHeight="1">
      <c r="A33" s="58" t="inlineStr">
        <is>
          <t>4</t>
        </is>
      </c>
      <c r="B33" s="58" t="inlineStr">
        <is>
          <t>EDWIN CH</t>
        </is>
      </c>
      <c r="C33" s="58" t="inlineStr">
        <is>
          <t>18/06/2026 04:29:37</t>
        </is>
      </c>
    </row>
    <row r="34" ht="20.25" customHeight="1">
      <c r="A34" s="58" t="inlineStr">
        <is>
          <t>4</t>
        </is>
      </c>
      <c r="B34" s="58" t="inlineStr">
        <is>
          <t>EDWIN CH</t>
        </is>
      </c>
      <c r="C34" s="58" t="inlineStr">
        <is>
          <t>18/06/2026 12:37:22</t>
        </is>
      </c>
    </row>
    <row r="35" ht="20.25" customHeight="1">
      <c r="A35" s="58" t="n"/>
      <c r="B35" s="58" t="n"/>
      <c r="C35" s="58" t="n"/>
    </row>
    <row r="36" ht="20.25" customHeight="1">
      <c r="A36" s="58" t="n"/>
      <c r="B36" s="58" t="n"/>
      <c r="C36" s="58" t="n"/>
    </row>
    <row r="37" ht="20.25" customHeight="1">
      <c r="A37" s="58" t="n"/>
      <c r="B37" s="58" t="n"/>
      <c r="C37" s="58" t="n"/>
    </row>
    <row r="38" ht="20.25" customHeight="1">
      <c r="A38" s="58" t="n"/>
      <c r="B38" s="58" t="n"/>
      <c r="C38" s="58" t="n"/>
    </row>
    <row r="39" ht="20.25" customHeight="1">
      <c r="A39" s="58" t="n"/>
      <c r="B39" s="58" t="n"/>
      <c r="C39" s="58" t="n"/>
    </row>
    <row r="40" ht="20.25" customHeight="1">
      <c r="A40" s="58" t="n"/>
      <c r="B40" s="58" t="n"/>
      <c r="C40" s="58" t="n"/>
    </row>
    <row r="41" ht="20.25" customHeight="1">
      <c r="A41" s="58" t="n"/>
      <c r="B41" s="58" t="n"/>
      <c r="C41" s="58" t="n"/>
    </row>
    <row r="42" ht="20.25" customHeight="1">
      <c r="A42" s="58" t="n"/>
      <c r="B42" s="58" t="n"/>
      <c r="C42" s="58" t="n"/>
    </row>
    <row r="43" ht="20.25" customHeight="1">
      <c r="A43" s="58" t="n"/>
      <c r="B43" s="58" t="n"/>
      <c r="C43" s="58" t="n"/>
    </row>
    <row r="44" ht="20.25" customHeight="1">
      <c r="A44" s="58" t="n"/>
      <c r="B44" s="58" t="n"/>
      <c r="C44" s="58" t="n"/>
    </row>
    <row r="45" ht="20.25" customHeight="1">
      <c r="A45" s="58" t="n"/>
      <c r="B45" s="58" t="n"/>
      <c r="C45" s="58" t="n"/>
    </row>
    <row r="46" ht="20.25" customHeight="1">
      <c r="A46" s="58" t="n"/>
      <c r="B46" s="58" t="n"/>
      <c r="C46" s="58" t="n"/>
    </row>
    <row r="47" ht="20.25" customHeight="1">
      <c r="A47" s="58" t="n"/>
      <c r="B47" s="58" t="n"/>
      <c r="C47" s="58" t="n"/>
    </row>
    <row r="48" ht="20.25" customHeight="1">
      <c r="A48" s="58" t="n"/>
      <c r="B48" s="58" t="n"/>
      <c r="C48" s="58" t="n"/>
    </row>
    <row r="49" ht="20.25" customHeight="1">
      <c r="A49" s="58" t="n"/>
      <c r="B49" s="58" t="n"/>
      <c r="C49" s="58" t="n"/>
    </row>
    <row r="50" ht="20.25" customHeight="1">
      <c r="A50" s="58" t="n"/>
      <c r="B50" s="58" t="n"/>
      <c r="C50" s="58" t="n"/>
    </row>
    <row r="51" ht="16.5" customHeight="1">
      <c r="A51" s="58" t="n"/>
      <c r="B51" s="58" t="n"/>
      <c r="C51" s="58" t="n"/>
    </row>
    <row r="52" ht="21.75" customHeight="1">
      <c r="A52" s="58" t="n"/>
      <c r="B52" s="58" t="n"/>
      <c r="C52" s="58" t="n"/>
    </row>
    <row r="53" ht="21.75" customHeight="1">
      <c r="A53" s="58" t="n"/>
      <c r="B53" s="58" t="n"/>
      <c r="C53" s="58" t="n"/>
    </row>
    <row r="54" ht="21.75" customHeight="1">
      <c r="A54" s="58" t="n"/>
      <c r="B54" s="58" t="n"/>
      <c r="C54" s="58" t="n"/>
    </row>
    <row r="55" ht="21.75" customHeight="1">
      <c r="A55" s="58" t="n"/>
      <c r="B55" s="58" t="n"/>
      <c r="C55" s="58" t="n"/>
    </row>
    <row r="56" ht="21.75" customHeight="1">
      <c r="A56" s="58" t="n"/>
      <c r="B56" s="58" t="n"/>
      <c r="C56" s="58" t="n"/>
    </row>
  </sheetData>
  <pageMargins left="0.7480314960629921" right="0.7480314960629921" top="0.984251968503937" bottom="0.984251968503937" header="0.5118110236220472" footer="0.5118110236220472"/>
  <pageSetup orientation="portrait" scale="56" horizontalDpi="4294967293" verticalDpi="7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53"/>
  <sheetViews>
    <sheetView tabSelected="1" workbookViewId="0">
      <selection activeCell="G23" sqref="G23"/>
    </sheetView>
  </sheetViews>
  <sheetFormatPr baseColWidth="10" defaultColWidth="12.28515625" defaultRowHeight="12"/>
  <cols>
    <col width="7.7109375" customWidth="1" style="1" min="1" max="1"/>
    <col width="12.28515625" customWidth="1" style="1" min="2" max="2"/>
    <col width="8.7109375" customWidth="1" style="2" min="3" max="3"/>
    <col width="8.140625" customWidth="1" style="2" min="4" max="4"/>
    <col width="10.28515625" customWidth="1" style="3" min="5" max="5"/>
    <col width="8.85546875" customWidth="1" style="3" min="6" max="6"/>
    <col width="12.28515625" customWidth="1" style="1" min="7" max="7"/>
    <col width="11.140625" customWidth="1" style="1" min="8" max="8"/>
    <col width="10" customWidth="1" style="1" min="9" max="9"/>
    <col width="10.28515625" customWidth="1" style="1" min="10" max="10"/>
    <col width="12.28515625" customWidth="1" style="1" min="11" max="12"/>
    <col width="10.7109375" customWidth="1" style="1" min="13" max="13"/>
    <col width="13.28515625" customWidth="1" style="1" min="14" max="14"/>
    <col width="10.5703125" customWidth="1" style="1" min="15" max="15"/>
    <col width="10.140625" customWidth="1" style="1" min="16" max="16"/>
    <col width="9.140625" customWidth="1" style="1" min="17" max="17"/>
    <col width="11.7109375" customWidth="1" style="1" min="18" max="18"/>
    <col width="12.28515625" customWidth="1" style="1" min="19" max="16384"/>
  </cols>
  <sheetData>
    <row r="1">
      <c r="A1" s="1" t="inlineStr">
        <is>
          <t>ZAIDA DIDONATO</t>
        </is>
      </c>
    </row>
    <row r="2" ht="18.75" customHeight="1">
      <c r="A2" s="1" t="inlineStr">
        <is>
          <t>REPORTES DE HORAS RELOJ junio 2026</t>
        </is>
      </c>
      <c r="P2" s="59" t="inlineStr">
        <is>
          <t>HORARIO</t>
        </is>
      </c>
      <c r="Q2" s="59" t="inlineStr">
        <is>
          <t>ENTRADA</t>
        </is>
      </c>
      <c r="R2" s="60" t="inlineStr">
        <is>
          <t>SALIDA</t>
        </is>
      </c>
    </row>
    <row r="3" ht="21" customHeight="1">
      <c r="A3" s="1" t="inlineStr">
        <is>
          <t>HERNAN CHINGAY</t>
        </is>
      </c>
      <c r="P3" s="59" t="n"/>
      <c r="Q3" s="59" t="n">
        <v>0.2291666666666667</v>
      </c>
      <c r="R3" s="61" t="n">
        <v>0.4375</v>
      </c>
    </row>
    <row r="4">
      <c r="P4" s="59" t="n"/>
      <c r="Q4" s="62" t="n">
        <v>0.5</v>
      </c>
      <c r="R4" s="62" t="n">
        <v>0.75</v>
      </c>
    </row>
    <row r="5" ht="15.75" customHeight="1">
      <c r="Q5" s="4" t="n"/>
      <c r="R5" s="4" t="n"/>
    </row>
    <row r="6" ht="12.75" customHeight="1">
      <c r="A6" s="66" t="inlineStr">
        <is>
          <t>Emp No.</t>
        </is>
      </c>
      <c r="B6" s="66" t="inlineStr">
        <is>
          <t>Fecha</t>
        </is>
      </c>
      <c r="C6" s="70" t="inlineStr">
        <is>
          <t>Entrada</t>
        </is>
      </c>
      <c r="D6" s="70" t="inlineStr">
        <is>
          <t>Salida</t>
        </is>
      </c>
      <c r="E6" s="66" t="inlineStr">
        <is>
          <t>Marco Entrada</t>
        </is>
      </c>
      <c r="F6" s="66" t="inlineStr">
        <is>
          <t>Marco        Salida</t>
        </is>
      </c>
      <c r="G6" s="67" t="inlineStr">
        <is>
          <t>CONTROL ASISTENCIA</t>
        </is>
      </c>
      <c r="H6" s="71" t="n"/>
      <c r="I6" s="71" t="n"/>
      <c r="J6" s="71" t="n"/>
      <c r="K6" s="71" t="n"/>
      <c r="L6" s="72" t="n"/>
      <c r="M6" s="68" t="inlineStr">
        <is>
          <t>Horas nocturnas, suplementarias y extraordinarias</t>
        </is>
      </c>
      <c r="N6" s="71" t="n"/>
      <c r="O6" s="71" t="n"/>
      <c r="P6" s="71" t="n"/>
      <c r="Q6" s="71" t="n"/>
      <c r="R6" s="72" t="n"/>
    </row>
    <row r="7" ht="52.5" customHeight="1">
      <c r="A7" s="73" t="n"/>
      <c r="B7" s="73" t="n"/>
      <c r="C7" s="73" t="n"/>
      <c r="D7" s="73" t="n"/>
      <c r="E7" s="73" t="n"/>
      <c r="F7" s="73" t="n"/>
      <c r="G7" s="6" t="inlineStr">
        <is>
          <t>Entrada</t>
        </is>
      </c>
      <c r="H7" s="6" t="inlineStr">
        <is>
          <t>Salida</t>
        </is>
      </c>
      <c r="I7" s="6" t="inlineStr">
        <is>
          <t>TOTAL</t>
        </is>
      </c>
      <c r="J7" s="6" t="inlineStr">
        <is>
          <t>Atraso</t>
        </is>
      </c>
      <c r="K7" s="67" t="inlineStr">
        <is>
          <t>Salida                     Temprano</t>
        </is>
      </c>
      <c r="L7" s="67" t="inlineStr">
        <is>
          <t>TOTAL</t>
        </is>
      </c>
      <c r="M7" s="7" t="inlineStr">
        <is>
          <t>Horas Nocturnas   entrada</t>
        </is>
      </c>
      <c r="N7" s="7" t="inlineStr">
        <is>
          <t xml:space="preserve">Horas        Nocturnas </t>
        </is>
      </c>
      <c r="O7" s="7" t="inlineStr">
        <is>
          <t>Horas Suplement Base</t>
        </is>
      </c>
      <c r="P7" s="7" t="inlineStr">
        <is>
          <t>Horario normal</t>
        </is>
      </c>
      <c r="Q7" s="7" t="inlineStr">
        <is>
          <t xml:space="preserve">Horas Suplementarias </t>
        </is>
      </c>
      <c r="R7" s="7" t="inlineStr">
        <is>
          <t xml:space="preserve">Horas Extraordinarias </t>
        </is>
      </c>
    </row>
    <row r="8" ht="13.5" customHeight="1">
      <c r="A8" s="8" t="inlineStr">
        <is>
          <t>4</t>
        </is>
      </c>
      <c r="B8" s="74" t="n">
        <v>46143</v>
      </c>
      <c r="C8" s="10" t="n">
        <v>0.1875</v>
      </c>
      <c r="D8" s="10" t="n">
        <v>0.5416666666666666</v>
      </c>
      <c r="E8" s="75" t="n">
        <v>0.1857638888888889</v>
      </c>
      <c r="F8" s="76" t="n">
        <v>0.5353819444444444</v>
      </c>
      <c r="G8" s="13">
        <f>IF(C8-E8&gt;0,+C8-E8,0)</f>
        <v/>
      </c>
      <c r="H8" s="13">
        <f>IF(F8-D8&gt;0,F8-D8,0)</f>
        <v/>
      </c>
      <c r="I8" s="14">
        <f>+G8+H8</f>
        <v/>
      </c>
      <c r="J8" s="13">
        <f>IF(E8-C8&gt;0,E8-C8,0)</f>
        <v/>
      </c>
      <c r="K8" s="13">
        <f>IF(F8-D8&lt;0,+(+F8-D8)*-1,0)</f>
        <v/>
      </c>
      <c r="L8" s="13">
        <f>+J8+K8</f>
        <v/>
      </c>
      <c r="M8" s="11" t="n">
        <v>0.25</v>
      </c>
      <c r="N8" s="15">
        <f>+M8-E8</f>
        <v/>
      </c>
      <c r="O8" s="16">
        <f>(+F8-E8)</f>
        <v/>
      </c>
      <c r="P8" s="10" t="n">
        <v>0.3333333333333333</v>
      </c>
      <c r="Q8" s="15">
        <f>IF(O8-P8&gt;0,O8-P8,0)</f>
        <v/>
      </c>
      <c r="R8" s="10" t="n"/>
      <c r="S8" s="17" t="n"/>
    </row>
    <row r="9" ht="13.5" customHeight="1">
      <c r="A9" s="8" t="inlineStr">
        <is>
          <t>4</t>
        </is>
      </c>
      <c r="B9" s="74" t="n">
        <v>46144</v>
      </c>
      <c r="C9" s="10" t="n">
        <v>0.1875</v>
      </c>
      <c r="D9" s="10" t="n">
        <v>0.5416666666666666</v>
      </c>
      <c r="E9" s="75" t="n">
        <v>0.1890740740740741</v>
      </c>
      <c r="F9" s="76" t="n">
        <v>0.5577199074074074</v>
      </c>
      <c r="G9" s="13">
        <f>IF(C9-E9&gt;0,+C9-E9,0)</f>
        <v/>
      </c>
      <c r="H9" s="13">
        <f>IF(F9-D9&gt;0,F9-D9,0)</f>
        <v/>
      </c>
      <c r="I9" s="14">
        <f>+G9+H9</f>
        <v/>
      </c>
      <c r="J9" s="13">
        <f>IF(E9-C9&gt;0,E9-C9,0)</f>
        <v/>
      </c>
      <c r="K9" s="13">
        <f>IF(F9-D9&lt;0,+(+F9-D9)*-1,0)</f>
        <v/>
      </c>
      <c r="L9" s="13">
        <f>+J9+K9</f>
        <v/>
      </c>
      <c r="M9" s="11" t="n">
        <v>0.25</v>
      </c>
      <c r="N9" s="15">
        <f>+M9-E9</f>
        <v/>
      </c>
      <c r="O9" s="16">
        <f>(+F9-E9)</f>
        <v/>
      </c>
      <c r="P9" s="10" t="n">
        <v>0.3333333333333333</v>
      </c>
      <c r="Q9" s="15">
        <f>IF(O9-P9&gt;0,O9-P9,0)</f>
        <v/>
      </c>
      <c r="R9" s="10" t="n"/>
      <c r="S9" s="17" t="n"/>
    </row>
    <row r="10" ht="13.5" customHeight="1">
      <c r="A10" s="8" t="inlineStr">
        <is>
          <t>4</t>
        </is>
      </c>
      <c r="B10" s="74" t="n">
        <v>46146</v>
      </c>
      <c r="C10" s="10" t="n">
        <v>0.1875</v>
      </c>
      <c r="D10" s="10" t="n">
        <v>0.5416666666666666</v>
      </c>
      <c r="E10" s="75" t="n">
        <v>0.2306828703703704</v>
      </c>
      <c r="F10" s="76" t="n">
        <v>0.5845138888888889</v>
      </c>
      <c r="G10" s="13">
        <f>IF(C10-E10&gt;0,+C10-E10,0)</f>
        <v/>
      </c>
      <c r="H10" s="13">
        <f>IF(F10-D10&gt;0,F10-D10,0)</f>
        <v/>
      </c>
      <c r="I10" s="14">
        <f>+G10+H10</f>
        <v/>
      </c>
      <c r="J10" s="13">
        <f>IF(E10-C10&gt;0,E10-C10,0)</f>
        <v/>
      </c>
      <c r="K10" s="13">
        <f>IF(F10-D10&lt;0,+(+F10-D10)*-1,0)</f>
        <v/>
      </c>
      <c r="L10" s="13">
        <f>+J10+K10</f>
        <v/>
      </c>
      <c r="M10" s="11" t="n">
        <v>0.25</v>
      </c>
      <c r="N10" s="15">
        <f>+M10-E10</f>
        <v/>
      </c>
      <c r="O10" s="16">
        <f>(+F10-E10)</f>
        <v/>
      </c>
      <c r="P10" s="10" t="n">
        <v>0.3333333333333333</v>
      </c>
      <c r="Q10" s="15">
        <f>IF(O10-P10&gt;0,O10-P10,0)</f>
        <v/>
      </c>
      <c r="R10" s="16" t="n"/>
      <c r="S10" s="17" t="n"/>
    </row>
    <row r="11" ht="13.5" customHeight="1">
      <c r="A11" s="8" t="inlineStr">
        <is>
          <t>4</t>
        </is>
      </c>
      <c r="B11" s="74" t="n">
        <v>46147</v>
      </c>
      <c r="C11" s="10" t="n">
        <v>0.1875</v>
      </c>
      <c r="D11" s="10" t="n">
        <v>0.5416666666666666</v>
      </c>
      <c r="E11" s="77" t="n">
        <v>0.2276388888888889</v>
      </c>
      <c r="F11" s="76" t="n">
        <v>0.6011111111111112</v>
      </c>
      <c r="G11" s="13">
        <f>IF(C11-E11&gt;0,+C11-E11,0)</f>
        <v/>
      </c>
      <c r="H11" s="13">
        <f>IF(F11-D11&gt;0,F11-D11,0)</f>
        <v/>
      </c>
      <c r="I11" s="14">
        <f>+G11+H11</f>
        <v/>
      </c>
      <c r="J11" s="13">
        <f>IF(E11-C11&gt;0,E11-C11,0)</f>
        <v/>
      </c>
      <c r="K11" s="13">
        <f>IF(F11-D11&lt;0,+(+F11-D11)*-1,0)</f>
        <v/>
      </c>
      <c r="L11" s="13">
        <f>+J11+K11</f>
        <v/>
      </c>
      <c r="M11" s="11" t="n">
        <v>0.25</v>
      </c>
      <c r="N11" s="15">
        <f>+M11-E11</f>
        <v/>
      </c>
      <c r="O11" s="16">
        <f>(+F11-E11)</f>
        <v/>
      </c>
      <c r="P11" s="10" t="n">
        <v>0.3333333333333333</v>
      </c>
      <c r="Q11" s="15">
        <f>IF(O11-P11&gt;0,O11-P11,0)</f>
        <v/>
      </c>
      <c r="R11" s="10" t="n"/>
      <c r="S11" s="17" t="n"/>
    </row>
    <row r="12" ht="13.5" customHeight="1">
      <c r="A12" s="8" t="inlineStr">
        <is>
          <t>4</t>
        </is>
      </c>
      <c r="B12" s="74" t="n">
        <v>46148</v>
      </c>
      <c r="C12" s="10" t="n">
        <v>0.1875</v>
      </c>
      <c r="D12" s="10" t="n">
        <v>0.5416666666666666</v>
      </c>
      <c r="E12" s="78" t="n">
        <v>0.2300578703703704</v>
      </c>
      <c r="F12" s="76" t="n">
        <v>0.5625810185185185</v>
      </c>
      <c r="G12" s="13">
        <f>IF(C12-E12&gt;0,+C12-E12,0)</f>
        <v/>
      </c>
      <c r="H12" s="13">
        <f>IF(F12-D12&gt;0,F12-D12,0)</f>
        <v/>
      </c>
      <c r="I12" s="14">
        <f>+G12+H12</f>
        <v/>
      </c>
      <c r="J12" s="13">
        <f>IF(E12-C12&gt;0,E12-C12,0)</f>
        <v/>
      </c>
      <c r="K12" s="13">
        <f>IF(F12-D12&lt;0,+(+F12-D12)*-1,0)</f>
        <v/>
      </c>
      <c r="L12" s="13">
        <f>+J12+K12</f>
        <v/>
      </c>
      <c r="M12" s="11" t="n">
        <v>0.25</v>
      </c>
      <c r="N12" s="15">
        <f>+M12-E12</f>
        <v/>
      </c>
      <c r="O12" s="16">
        <f>(+F12-E12)</f>
        <v/>
      </c>
      <c r="P12" s="10" t="n">
        <v>0.3333333333333333</v>
      </c>
      <c r="Q12" s="15">
        <f>IF(O12-P12&gt;0,O12-P12,0)</f>
        <v/>
      </c>
      <c r="R12" s="10" t="n"/>
      <c r="S12" s="17" t="n"/>
    </row>
    <row r="13" ht="16.5" customHeight="1">
      <c r="A13" s="18" t="inlineStr">
        <is>
          <t>4</t>
        </is>
      </c>
      <c r="B13" s="79" t="n">
        <v>46149</v>
      </c>
      <c r="C13" s="20" t="n">
        <v>0.1875</v>
      </c>
      <c r="D13" s="20" t="n">
        <v>0.5416666666666666</v>
      </c>
      <c r="E13" s="80" t="n">
        <v>0.2215162037037037</v>
      </c>
      <c r="F13" s="81" t="n">
        <v>0.5114120370370371</v>
      </c>
      <c r="G13" s="23">
        <f>IF(C13-E13&gt;0,+C13-E13,0)</f>
        <v/>
      </c>
      <c r="H13" s="23">
        <f>IF(F13-D13&gt;0,F13-D13,0)</f>
        <v/>
      </c>
      <c r="I13" s="24">
        <f>+G13+H13</f>
        <v/>
      </c>
      <c r="J13" s="23">
        <f>IF(E13-C13&gt;0,E13-C13,0)</f>
        <v/>
      </c>
      <c r="K13" s="23">
        <f>IF(F13-D13&lt;0,+(+F13-D13)*-1,0)</f>
        <v/>
      </c>
      <c r="L13" s="23">
        <f>+J13+K13</f>
        <v/>
      </c>
      <c r="M13" s="21" t="n"/>
      <c r="N13" s="25" t="n"/>
      <c r="O13" s="20">
        <f>(+F13-E13)</f>
        <v/>
      </c>
      <c r="P13" s="20" t="n"/>
      <c r="Q13" s="24" t="n"/>
      <c r="R13" s="20">
        <f>+F13-E13</f>
        <v/>
      </c>
      <c r="S13" s="17" t="n"/>
    </row>
    <row r="14" ht="13.5" customHeight="1">
      <c r="A14" s="8" t="inlineStr">
        <is>
          <t>4</t>
        </is>
      </c>
      <c r="B14" s="74" t="n">
        <v>46150</v>
      </c>
      <c r="C14" s="10" t="n">
        <v>0.1875</v>
      </c>
      <c r="D14" s="10" t="n">
        <v>0.5416666666666666</v>
      </c>
      <c r="E14" s="78" t="n">
        <v>0.2285416666666667</v>
      </c>
      <c r="F14" s="76" t="n">
        <v>0.5860069444444445</v>
      </c>
      <c r="G14" s="13">
        <f>IF(C14-E14&gt;0,+C14-E14,0)</f>
        <v/>
      </c>
      <c r="H14" s="13">
        <f>IF(F14-D14&gt;0,F14-D14,0)</f>
        <v/>
      </c>
      <c r="I14" s="14">
        <f>+G14+H14</f>
        <v/>
      </c>
      <c r="J14" s="13">
        <f>IF(E14-C14&gt;0,E14-C14,0)</f>
        <v/>
      </c>
      <c r="K14" s="13">
        <f>IF(F14-D14&lt;0,+(+F14-D14)*-1,0)</f>
        <v/>
      </c>
      <c r="L14" s="13">
        <f>+J14+K14</f>
        <v/>
      </c>
      <c r="M14" s="11" t="n">
        <v>0.25</v>
      </c>
      <c r="N14" s="15">
        <f>+M14-E14</f>
        <v/>
      </c>
      <c r="O14" s="16">
        <f>(+F14-E14)</f>
        <v/>
      </c>
      <c r="P14" s="10" t="n">
        <v>0.3333333333333333</v>
      </c>
      <c r="Q14" s="15">
        <f>IF(O14-P14&gt;0,O14-P14,0)</f>
        <v/>
      </c>
      <c r="R14" s="10" t="n"/>
      <c r="S14" s="17" t="n"/>
    </row>
    <row r="15" ht="13.5" customHeight="1">
      <c r="A15" s="8" t="inlineStr">
        <is>
          <t>4</t>
        </is>
      </c>
      <c r="B15" s="74" t="n">
        <v>46151</v>
      </c>
      <c r="C15" s="10" t="n">
        <v>0.1875</v>
      </c>
      <c r="D15" s="10" t="n">
        <v>0.5416666666666666</v>
      </c>
      <c r="E15" s="75" t="n">
        <v>0.2303009259259259</v>
      </c>
      <c r="F15" s="76" t="n">
        <v>0.583113425925926</v>
      </c>
      <c r="G15" s="13">
        <f>IF(C15-E15&gt;0,+C15-E15,0)</f>
        <v/>
      </c>
      <c r="H15" s="13">
        <f>IF(F15-D15&gt;0,F15-D15,0)</f>
        <v/>
      </c>
      <c r="I15" s="14">
        <f>+G15+H15</f>
        <v/>
      </c>
      <c r="J15" s="13">
        <f>IF(E15-C15&gt;0,E15-C15,0)</f>
        <v/>
      </c>
      <c r="K15" s="13">
        <f>IF(F15-D15&lt;0,+(+F15-D15)*-1,0)</f>
        <v/>
      </c>
      <c r="L15" s="13">
        <f>+J15+K15</f>
        <v/>
      </c>
      <c r="M15" s="11" t="n">
        <v>0.25</v>
      </c>
      <c r="N15" s="15">
        <f>+M15-E15</f>
        <v/>
      </c>
      <c r="O15" s="16">
        <f>(+F15-E15)</f>
        <v/>
      </c>
      <c r="P15" s="10" t="n">
        <v>0.3333333333333333</v>
      </c>
      <c r="Q15" s="15">
        <f>IF(O15-P15&gt;0,O15-P15,0)</f>
        <v/>
      </c>
      <c r="R15" s="16" t="n"/>
      <c r="S15" s="17" t="n"/>
    </row>
    <row r="16" ht="13.5" customHeight="1">
      <c r="A16" s="8" t="inlineStr">
        <is>
          <t>4</t>
        </is>
      </c>
      <c r="B16" s="74" t="n">
        <v>46153</v>
      </c>
      <c r="C16" s="10" t="n">
        <v>0.1875</v>
      </c>
      <c r="D16" s="10" t="n">
        <v>0.5416666666666666</v>
      </c>
      <c r="E16" s="75" t="n">
        <v>0.2299537037037037</v>
      </c>
      <c r="F16" s="76" t="n">
        <v>0.5728703703703704</v>
      </c>
      <c r="G16" s="13">
        <f>IF(C16-E16&gt;0,+C16-E16,0)</f>
        <v/>
      </c>
      <c r="H16" s="13">
        <f>IF(F16-D16&gt;0,F16-D16,0)</f>
        <v/>
      </c>
      <c r="I16" s="14">
        <f>+G16+H16</f>
        <v/>
      </c>
      <c r="J16" s="13">
        <f>IF(E16-C16&gt;0,E16-C16,0)</f>
        <v/>
      </c>
      <c r="K16" s="13">
        <f>IF(F16-D16&lt;0,+(+F16-D16)*-1,0)</f>
        <v/>
      </c>
      <c r="L16" s="13">
        <f>+J16+K16</f>
        <v/>
      </c>
      <c r="M16" s="11" t="n">
        <v>0.25</v>
      </c>
      <c r="N16" s="15">
        <f>+M16-E16</f>
        <v/>
      </c>
      <c r="O16" s="16">
        <f>(+F16-E16)</f>
        <v/>
      </c>
      <c r="P16" s="10" t="n">
        <v>0.3333333333333333</v>
      </c>
      <c r="Q16" s="15">
        <f>IF(O16-P16&gt;0,O16-P16,0)</f>
        <v/>
      </c>
      <c r="R16" s="16" t="n"/>
      <c r="S16" s="17" t="n"/>
    </row>
    <row r="17" ht="13.5" customHeight="1">
      <c r="A17" s="8" t="inlineStr">
        <is>
          <t>4</t>
        </is>
      </c>
      <c r="B17" s="74" t="n">
        <v>46154</v>
      </c>
      <c r="C17" s="10" t="n">
        <v>0.1875</v>
      </c>
      <c r="D17" s="10" t="n">
        <v>0.5416666666666666</v>
      </c>
      <c r="E17" s="75" t="n">
        <v>0.2292939814814815</v>
      </c>
      <c r="F17" s="76" t="n">
        <v>0.5337499999999999</v>
      </c>
      <c r="G17" s="13">
        <f>IF(C17-E17&gt;0,+C17-E17,0)</f>
        <v/>
      </c>
      <c r="H17" s="13">
        <f>IF(F17-D17&gt;0,F17-D17,0)</f>
        <v/>
      </c>
      <c r="I17" s="14">
        <f>+G17+H17</f>
        <v/>
      </c>
      <c r="J17" s="13">
        <f>IF(E17-C17&gt;0,E17-C17,0)</f>
        <v/>
      </c>
      <c r="K17" s="13">
        <f>IF(F17-D17&lt;0,+(+F17-D17)*-1,0)</f>
        <v/>
      </c>
      <c r="L17" s="13">
        <f>+J17+K17</f>
        <v/>
      </c>
      <c r="M17" s="11" t="n">
        <v>0.25</v>
      </c>
      <c r="N17" s="15">
        <f>+M17-E17</f>
        <v/>
      </c>
      <c r="O17" s="16">
        <f>(+F17-E17)</f>
        <v/>
      </c>
      <c r="P17" s="10" t="n">
        <v>0.3333333333333333</v>
      </c>
      <c r="Q17" s="15">
        <f>IF(O17-P17&gt;0,O17-P17,0)</f>
        <v/>
      </c>
      <c r="R17" s="10" t="n"/>
      <c r="S17" s="17" t="n"/>
    </row>
    <row r="18" ht="13.5" customHeight="1">
      <c r="A18" s="8" t="inlineStr">
        <is>
          <t>4</t>
        </is>
      </c>
      <c r="B18" s="74" t="n">
        <v>46155</v>
      </c>
      <c r="C18" s="10" t="n">
        <v>0.1875</v>
      </c>
      <c r="D18" s="10" t="n">
        <v>0.5416666666666666</v>
      </c>
      <c r="E18" s="78" t="n">
        <v>0.2296064814814815</v>
      </c>
      <c r="F18" s="76" t="n">
        <v>0.2296064814814815</v>
      </c>
      <c r="G18" s="13">
        <f>IF(C18-E18&gt;0,+C18-E18,0)</f>
        <v/>
      </c>
      <c r="H18" s="13">
        <f>IF(F18-D18&gt;0,F18-D18,0)</f>
        <v/>
      </c>
      <c r="I18" s="14">
        <f>+G18+H18</f>
        <v/>
      </c>
      <c r="J18" s="13">
        <f>IF(E18-C18&gt;0,E18-C18,0)</f>
        <v/>
      </c>
      <c r="K18" s="13">
        <f>IF(F18-D18&lt;0,+(+F18-D18)*-1,0)</f>
        <v/>
      </c>
      <c r="L18" s="13">
        <f>+J18+K18</f>
        <v/>
      </c>
      <c r="M18" s="11" t="n">
        <v>0.25</v>
      </c>
      <c r="N18" s="15">
        <f>+M18-E18</f>
        <v/>
      </c>
      <c r="O18" s="16">
        <f>(+F18-E18)</f>
        <v/>
      </c>
      <c r="P18" s="10" t="n">
        <v>0.3333333333333333</v>
      </c>
      <c r="Q18" s="15">
        <f>IF(O18-P18&gt;0,O18-P18,0)</f>
        <v/>
      </c>
      <c r="R18" s="10" t="n"/>
      <c r="S18" s="17" t="n"/>
    </row>
    <row r="19" ht="16.5" customHeight="1">
      <c r="A19" s="18" t="inlineStr">
        <is>
          <t>4</t>
        </is>
      </c>
      <c r="B19" s="79" t="n">
        <v>46156</v>
      </c>
      <c r="C19" s="20" t="n">
        <v>0.1875</v>
      </c>
      <c r="D19" s="20" t="n">
        <v>0.5416666666666666</v>
      </c>
      <c r="E19" s="80" t="n">
        <v>0.2345601851851852</v>
      </c>
      <c r="F19" s="81" t="n">
        <v>0.5139699074074074</v>
      </c>
      <c r="G19" s="23">
        <f>IF(C19-E19&gt;0,+C19-E19,0)</f>
        <v/>
      </c>
      <c r="H19" s="23">
        <f>IF(F19-D19&gt;0,F19-D19,0)</f>
        <v/>
      </c>
      <c r="I19" s="24">
        <f>+G19+H19</f>
        <v/>
      </c>
      <c r="J19" s="23">
        <f>IF(E19-C19&gt;0,E19-C19,0)</f>
        <v/>
      </c>
      <c r="K19" s="23">
        <f>IF(F19-D19&lt;0,+(+F19-D19)*-1,0)</f>
        <v/>
      </c>
      <c r="L19" s="23">
        <f>+J19+K19</f>
        <v/>
      </c>
      <c r="M19" s="21" t="n"/>
      <c r="N19" s="25" t="n"/>
      <c r="O19" s="20">
        <f>(+F19-E19)</f>
        <v/>
      </c>
      <c r="P19" s="20" t="n"/>
      <c r="Q19" s="24" t="n"/>
      <c r="R19" s="20">
        <f>+F19-E19</f>
        <v/>
      </c>
      <c r="S19" s="17" t="n"/>
    </row>
    <row r="20" ht="13.5" customHeight="1">
      <c r="A20" s="8" t="inlineStr">
        <is>
          <t>4</t>
        </is>
      </c>
      <c r="B20" s="74" t="n">
        <v>46157</v>
      </c>
      <c r="C20" s="10" t="n">
        <v>0.1875</v>
      </c>
      <c r="D20" s="10" t="n">
        <v>0.5416666666666666</v>
      </c>
      <c r="E20" s="75" t="n">
        <v>0.2327777777777778</v>
      </c>
      <c r="F20" s="76" t="n">
        <v>0.5174652777777777</v>
      </c>
      <c r="G20" s="13">
        <f>IF(C20-E20&gt;0,+C20-E20,0)</f>
        <v/>
      </c>
      <c r="H20" s="13">
        <f>IF(F20-D20&gt;0,F20-D20,0)</f>
        <v/>
      </c>
      <c r="I20" s="14">
        <f>+G20+H20</f>
        <v/>
      </c>
      <c r="J20" s="13">
        <f>IF(E20-C20&gt;0,E20-C20,0)</f>
        <v/>
      </c>
      <c r="K20" s="13">
        <f>IF(F20-D20&lt;0,+(+F20-D20)*-1,0)</f>
        <v/>
      </c>
      <c r="L20" s="13">
        <f>+J20+K20</f>
        <v/>
      </c>
      <c r="M20" s="11" t="n">
        <v>0.25</v>
      </c>
      <c r="N20" s="15">
        <f>+M20-E20</f>
        <v/>
      </c>
      <c r="O20" s="16">
        <f>(+F20-E20)</f>
        <v/>
      </c>
      <c r="P20" s="10" t="n">
        <v>0.3333333333333333</v>
      </c>
      <c r="Q20" s="15">
        <f>IF(O20-P20&gt;0,O20-P20,0)</f>
        <v/>
      </c>
      <c r="R20" s="10" t="n"/>
      <c r="S20" s="17" t="n"/>
    </row>
    <row r="21" ht="13.5" customHeight="1">
      <c r="A21" s="8" t="inlineStr">
        <is>
          <t>4</t>
        </is>
      </c>
      <c r="B21" s="74" t="n">
        <v>46158</v>
      </c>
      <c r="C21" s="10" t="n">
        <v>0.1875</v>
      </c>
      <c r="D21" s="10" t="n">
        <v>0.5416666666666666</v>
      </c>
      <c r="E21" s="78" t="n">
        <v>0.2324421296296296</v>
      </c>
      <c r="F21" s="76" t="n">
        <v>0.5386689814814815</v>
      </c>
      <c r="G21" s="13">
        <f>IF(C21-E21&gt;0,+C21-E21,0)</f>
        <v/>
      </c>
      <c r="H21" s="13">
        <f>IF(F21-D21&gt;0,F21-D21,0)</f>
        <v/>
      </c>
      <c r="I21" s="14">
        <f>+G21+H21</f>
        <v/>
      </c>
      <c r="J21" s="13">
        <f>IF(E21-C21&gt;0,E21-C21,0)</f>
        <v/>
      </c>
      <c r="K21" s="13">
        <f>IF(F21-D21&lt;0,+(+F21-D21)*-1,0)</f>
        <v/>
      </c>
      <c r="L21" s="13">
        <f>+J21+K21</f>
        <v/>
      </c>
      <c r="M21" s="11" t="n">
        <v>0.25</v>
      </c>
      <c r="N21" s="15">
        <f>+M21-E21</f>
        <v/>
      </c>
      <c r="O21" s="16">
        <f>(+F21-E21)</f>
        <v/>
      </c>
      <c r="P21" s="10" t="n">
        <v>0.3333333333333333</v>
      </c>
      <c r="Q21" s="15">
        <f>IF(O21-P21&gt;0,O21-P21,0)</f>
        <v/>
      </c>
      <c r="R21" s="10" t="n"/>
      <c r="S21" s="17" t="n"/>
    </row>
    <row r="22" ht="13.5" customHeight="1">
      <c r="A22" s="8" t="inlineStr">
        <is>
          <t>4</t>
        </is>
      </c>
      <c r="B22" s="74" t="n">
        <v>46160</v>
      </c>
      <c r="C22" s="10" t="n">
        <v>0.1875</v>
      </c>
      <c r="D22" s="10" t="n">
        <v>0.5416666666666666</v>
      </c>
      <c r="E22" s="78" t="n">
        <v>0.2253703703703704</v>
      </c>
      <c r="F22" s="76" t="n">
        <v>0.4496759259259259</v>
      </c>
      <c r="G22" s="13">
        <f>IF(C22-E22&gt;0,+C22-E22,0)</f>
        <v/>
      </c>
      <c r="H22" s="13">
        <f>IF(F22-D22&gt;0,F22-D22,0)</f>
        <v/>
      </c>
      <c r="I22" s="14">
        <f>+G22+H22</f>
        <v/>
      </c>
      <c r="J22" s="13">
        <f>IF(E22-C22&gt;0,E22-C22,0)</f>
        <v/>
      </c>
      <c r="K22" s="13">
        <f>IF(F22-D22&lt;0,+(+F22-D22)*-1,0)</f>
        <v/>
      </c>
      <c r="L22" s="13">
        <f>+J22+K22</f>
        <v/>
      </c>
      <c r="M22" s="11" t="n">
        <v>0.25</v>
      </c>
      <c r="N22" s="15">
        <f>+M22-E22</f>
        <v/>
      </c>
      <c r="O22" s="16">
        <f>(+F22-E22)</f>
        <v/>
      </c>
      <c r="P22" s="10" t="n">
        <v>0.3333333333333333</v>
      </c>
      <c r="Q22" s="15">
        <f>IF(O22-P22&gt;0,O22-P22,0)</f>
        <v/>
      </c>
      <c r="R22" s="16" t="n"/>
      <c r="S22" s="17" t="n"/>
    </row>
    <row r="23" ht="13.5" customHeight="1">
      <c r="A23" s="8" t="inlineStr">
        <is>
          <t>4</t>
        </is>
      </c>
      <c r="B23" s="74" t="n">
        <v>46161</v>
      </c>
      <c r="C23" s="10" t="n">
        <v>0.1875</v>
      </c>
      <c r="D23" s="10" t="n">
        <v>0.5416666666666666</v>
      </c>
      <c r="E23" s="78" t="n">
        <v>0.1876736111111111</v>
      </c>
      <c r="F23" s="76" t="n">
        <v>0.4413541666666667</v>
      </c>
      <c r="G23" s="13">
        <f>IF(C23-E23&gt;0,+C23-E23,0)</f>
        <v/>
      </c>
      <c r="H23" s="13">
        <f>IF(F23-D23&gt;0,F23-D23,0)</f>
        <v/>
      </c>
      <c r="I23" s="14">
        <f>+G23+H23</f>
        <v/>
      </c>
      <c r="J23" s="13">
        <f>IF(E23-C23&gt;0,E23-C23,0)</f>
        <v/>
      </c>
      <c r="K23" s="13">
        <f>IF(F23-D23&lt;0,+(+F23-D23)*-1,0)</f>
        <v/>
      </c>
      <c r="L23" s="13">
        <f>+J23+K23</f>
        <v/>
      </c>
      <c r="M23" s="11" t="n">
        <v>0.25</v>
      </c>
      <c r="N23" s="15">
        <f>+M23-E23</f>
        <v/>
      </c>
      <c r="O23" s="16">
        <f>(+F23-E23)</f>
        <v/>
      </c>
      <c r="P23" s="10" t="n">
        <v>0.3333333333333333</v>
      </c>
      <c r="Q23" s="15">
        <f>IF(O23-P23&gt;0,O23-P23,0)</f>
        <v/>
      </c>
      <c r="R23" s="10" t="n"/>
      <c r="S23" s="17" t="n"/>
    </row>
    <row r="24" ht="13.5" customHeight="1">
      <c r="A24" s="8" t="inlineStr">
        <is>
          <t>4</t>
        </is>
      </c>
      <c r="B24" s="74" t="n">
        <v>46162</v>
      </c>
      <c r="C24" s="10" t="n">
        <v>0.1875</v>
      </c>
      <c r="D24" s="10" t="n">
        <v>0.5416666666666666</v>
      </c>
      <c r="E24" s="78" t="n">
        <v>0.1873032407407407</v>
      </c>
      <c r="F24" s="76" t="n">
        <v>0.4409837962962963</v>
      </c>
      <c r="G24" s="13">
        <f>IF(C24-E24&gt;0,+C24-E24,0)</f>
        <v/>
      </c>
      <c r="H24" s="13">
        <f>IF(F24-D24&gt;0,F24-D24,0)</f>
        <v/>
      </c>
      <c r="I24" s="14">
        <f>+G24+H24</f>
        <v/>
      </c>
      <c r="J24" s="13">
        <f>IF(E24-C24&gt;0,E24-C24,0)</f>
        <v/>
      </c>
      <c r="K24" s="13">
        <f>IF(F24-D24&lt;0,+(+F24-D24)*-1,0)</f>
        <v/>
      </c>
      <c r="L24" s="13">
        <f>+J24+K24</f>
        <v/>
      </c>
      <c r="M24" s="11" t="n">
        <v>0.25</v>
      </c>
      <c r="N24" s="15">
        <f>+M24-E24</f>
        <v/>
      </c>
      <c r="O24" s="16">
        <f>(+F24-E24)</f>
        <v/>
      </c>
      <c r="P24" s="10" t="n">
        <v>0.3333333333333333</v>
      </c>
      <c r="Q24" s="15">
        <f>IF(O24-P24&gt;0,O24-P24,0)</f>
        <v/>
      </c>
      <c r="R24" s="10" t="n"/>
      <c r="S24" s="17" t="n"/>
    </row>
    <row r="25" ht="16.5" customHeight="1">
      <c r="A25" s="18" t="inlineStr">
        <is>
          <t>4</t>
        </is>
      </c>
      <c r="B25" s="79" t="n">
        <v>46163</v>
      </c>
      <c r="C25" s="20" t="n">
        <v>0.1875</v>
      </c>
      <c r="D25" s="20" t="n">
        <v>0.5416666666666666</v>
      </c>
      <c r="E25" s="80" t="n">
        <v>0.1880787037037037</v>
      </c>
      <c r="F25" s="81" t="n">
        <v>0.5176388888888889</v>
      </c>
      <c r="G25" s="23">
        <f>IF(C25-E25&gt;0,+C25-E25,0)</f>
        <v/>
      </c>
      <c r="H25" s="23">
        <f>IF(F25-D25&gt;0,F25-D25,0)</f>
        <v/>
      </c>
      <c r="I25" s="24">
        <f>+G25+H25</f>
        <v/>
      </c>
      <c r="J25" s="23">
        <f>IF(E25-C25&gt;0,E25-C25,0)</f>
        <v/>
      </c>
      <c r="K25" s="23">
        <f>IF(F25-D25&lt;0,+(+F25-D25)*-1,0)</f>
        <v/>
      </c>
      <c r="L25" s="23">
        <f>+J25+K25</f>
        <v/>
      </c>
      <c r="M25" s="21" t="n"/>
      <c r="N25" s="25" t="n"/>
      <c r="O25" s="20">
        <f>(+F25-E25)</f>
        <v/>
      </c>
      <c r="P25" s="20" t="n"/>
      <c r="Q25" s="24" t="n"/>
      <c r="R25" s="20">
        <f>+F25-E25</f>
        <v/>
      </c>
      <c r="S25" s="17" t="n"/>
    </row>
    <row r="26" ht="13.5" customHeight="1">
      <c r="A26" s="8" t="inlineStr">
        <is>
          <t>4</t>
        </is>
      </c>
      <c r="B26" s="74" t="n">
        <v>46164</v>
      </c>
      <c r="C26" s="10" t="n">
        <v>0.1875</v>
      </c>
      <c r="D26" s="10" t="n">
        <v>0.5416666666666666</v>
      </c>
      <c r="E26" s="78" t="n">
        <v>0.1880324074074074</v>
      </c>
      <c r="F26" s="76" t="n">
        <v>0.5274305555555555</v>
      </c>
      <c r="G26" s="13">
        <f>IF(C26-E26&gt;0,+C26-E26,0)</f>
        <v/>
      </c>
      <c r="H26" s="13">
        <f>IF(F26-D26&gt;0,F26-D26,0)</f>
        <v/>
      </c>
      <c r="I26" s="14">
        <f>+G26+H26</f>
        <v/>
      </c>
      <c r="J26" s="13">
        <f>IF(E26-C26&gt;0,E26-C26,0)</f>
        <v/>
      </c>
      <c r="K26" s="13">
        <f>IF(F26-D26&lt;0,+(+F26-D26)*-1,0)</f>
        <v/>
      </c>
      <c r="L26" s="13">
        <f>+J26+K26</f>
        <v/>
      </c>
      <c r="M26" s="11" t="n">
        <v>0.25</v>
      </c>
      <c r="N26" s="15">
        <f>+M26-E26</f>
        <v/>
      </c>
      <c r="O26" s="16">
        <f>(+F26-E26)</f>
        <v/>
      </c>
      <c r="P26" s="10" t="n">
        <v>0.3333333333333333</v>
      </c>
      <c r="Q26" s="15">
        <f>IF(O26-P26&gt;0,O26-P26,0)</f>
        <v/>
      </c>
      <c r="R26" s="10" t="n"/>
      <c r="S26" s="17" t="n"/>
    </row>
    <row r="27" ht="13.5" customHeight="1">
      <c r="A27" s="8" t="inlineStr">
        <is>
          <t>4</t>
        </is>
      </c>
      <c r="B27" s="74" t="n">
        <v>46165</v>
      </c>
      <c r="C27" s="10" t="n">
        <v>0.1875</v>
      </c>
      <c r="D27" s="10" t="n">
        <v>0.5416666666666666</v>
      </c>
      <c r="E27" s="78" t="n">
        <v>0.1746643518518519</v>
      </c>
      <c r="F27" s="76" t="n">
        <v>0.5090277777777777</v>
      </c>
      <c r="G27" s="13">
        <f>IF(C27-E27&gt;0,+C27-E27,0)</f>
        <v/>
      </c>
      <c r="H27" s="13">
        <f>IF(F27-D27&gt;0,F27-D27,0)</f>
        <v/>
      </c>
      <c r="I27" s="14">
        <f>+G27+H27</f>
        <v/>
      </c>
      <c r="J27" s="13">
        <f>IF(E27-C27&gt;0,E27-C27,0)</f>
        <v/>
      </c>
      <c r="K27" s="13">
        <f>IF(F27-D27&lt;0,+(+F27-D27)*-1,0)</f>
        <v/>
      </c>
      <c r="L27" s="13">
        <f>+J27+K27</f>
        <v/>
      </c>
      <c r="M27" s="11" t="n">
        <v>0.25</v>
      </c>
      <c r="N27" s="15">
        <f>+M27-E27</f>
        <v/>
      </c>
      <c r="O27" s="16">
        <f>(+F27-E27)</f>
        <v/>
      </c>
      <c r="P27" s="10" t="n">
        <v>0.3333333333333333</v>
      </c>
      <c r="Q27" s="15">
        <f>IF(O27-P27&gt;0,O27-P27,0)</f>
        <v/>
      </c>
      <c r="R27" s="10" t="n"/>
      <c r="S27" s="17" t="n"/>
    </row>
    <row r="28" ht="13.5" customHeight="1">
      <c r="A28" s="8" t="inlineStr">
        <is>
          <t>4</t>
        </is>
      </c>
      <c r="B28" s="74" t="n">
        <v>46167</v>
      </c>
      <c r="C28" s="10" t="n">
        <v>0.1875</v>
      </c>
      <c r="D28" s="10" t="n">
        <v>0.5416666666666666</v>
      </c>
      <c r="E28" s="78" t="n">
        <v>0.184837962962963</v>
      </c>
      <c r="F28" s="76" t="n">
        <v>0.5243171296296296</v>
      </c>
      <c r="G28" s="13">
        <f>IF(C28-E28&gt;0,+C28-E28,0)</f>
        <v/>
      </c>
      <c r="H28" s="13">
        <f>IF(F28-D28&gt;0,F28-D28,0)</f>
        <v/>
      </c>
      <c r="I28" s="14">
        <f>+G28+H28</f>
        <v/>
      </c>
      <c r="J28" s="13">
        <f>IF(E28-C28&gt;0,E28-C28,0)</f>
        <v/>
      </c>
      <c r="K28" s="13">
        <f>IF(F28-D28&lt;0,+(+F28-D28)*-1,0)</f>
        <v/>
      </c>
      <c r="L28" s="13">
        <f>+J28+K28</f>
        <v/>
      </c>
      <c r="M28" s="11" t="n">
        <v>0.25</v>
      </c>
      <c r="N28" s="15">
        <f>+M28-E28</f>
        <v/>
      </c>
      <c r="O28" s="16">
        <f>(+F28-E28)</f>
        <v/>
      </c>
      <c r="P28" s="10" t="n">
        <v>0.3333333333333333</v>
      </c>
      <c r="Q28" s="15">
        <f>IF(O28-P28&gt;0,O28-P28,0)</f>
        <v/>
      </c>
      <c r="R28" s="16" t="n"/>
      <c r="S28" s="17" t="n"/>
    </row>
    <row r="29" ht="13.5" customHeight="1">
      <c r="A29" s="8" t="inlineStr">
        <is>
          <t>4</t>
        </is>
      </c>
      <c r="B29" s="74" t="n">
        <v>46168</v>
      </c>
      <c r="C29" s="10" t="n">
        <v>0.1875</v>
      </c>
      <c r="D29" s="10" t="n">
        <v>0.5416666666666666</v>
      </c>
      <c r="E29" s="78" t="n">
        <v>0.1851851851851852</v>
      </c>
      <c r="F29" s="76" t="n">
        <v>0.4951967592592593</v>
      </c>
      <c r="G29" s="13">
        <f>IF(C29-E29&gt;0,+C29-E29,0)</f>
        <v/>
      </c>
      <c r="H29" s="13">
        <f>IF(F29-D29&gt;0,F29-D29,0)</f>
        <v/>
      </c>
      <c r="I29" s="14">
        <f>+G29+H29</f>
        <v/>
      </c>
      <c r="J29" s="13">
        <f>IF(E29-C29&gt;0,E29-C29,0)</f>
        <v/>
      </c>
      <c r="K29" s="13">
        <f>IF(F29-D29&lt;0,+(+F29-D29)*-1,0)</f>
        <v/>
      </c>
      <c r="L29" s="13">
        <f>+J29+K29</f>
        <v/>
      </c>
      <c r="M29" s="11" t="n">
        <v>0.25</v>
      </c>
      <c r="N29" s="15">
        <f>+M29-E29</f>
        <v/>
      </c>
      <c r="O29" s="16">
        <f>(+F29-E29)</f>
        <v/>
      </c>
      <c r="P29" s="10" t="n">
        <v>0.3333333333333333</v>
      </c>
      <c r="Q29" s="15">
        <f>IF(O29-P29&gt;0,O29-P29,0)</f>
        <v/>
      </c>
      <c r="R29" s="10" t="n"/>
      <c r="S29" s="17" t="n"/>
    </row>
    <row r="30" ht="13.5" customHeight="1">
      <c r="A30" s="8" t="inlineStr">
        <is>
          <t>4</t>
        </is>
      </c>
      <c r="B30" s="74" t="n">
        <v>46169</v>
      </c>
      <c r="C30" s="10" t="n">
        <v>0.1875</v>
      </c>
      <c r="D30" s="10" t="n">
        <v>0.5416666666666666</v>
      </c>
      <c r="E30" s="78" t="n">
        <v>0.1867939814814815</v>
      </c>
      <c r="F30" s="76" t="n">
        <v>0.5151388888888889</v>
      </c>
      <c r="G30" s="13">
        <f>IF(C30-E30&gt;0,+C30-E30,0)</f>
        <v/>
      </c>
      <c r="H30" s="13">
        <f>IF(F30-D30&gt;0,F30-D30,0)</f>
        <v/>
      </c>
      <c r="I30" s="14">
        <f>+G30+H30</f>
        <v/>
      </c>
      <c r="J30" s="13">
        <f>IF(E30-C30&gt;0,E30-C30,0)</f>
        <v/>
      </c>
      <c r="K30" s="13">
        <f>IF(F30-D30&lt;0,+(+F30-D30)*-1,0)</f>
        <v/>
      </c>
      <c r="L30" s="13">
        <f>+J30+K30</f>
        <v/>
      </c>
      <c r="M30" s="11" t="n">
        <v>0.25</v>
      </c>
      <c r="N30" s="15">
        <f>+M30-E30</f>
        <v/>
      </c>
      <c r="O30" s="16">
        <f>(+F30-E30)</f>
        <v/>
      </c>
      <c r="P30" s="10" t="n">
        <v>0.3333333333333333</v>
      </c>
      <c r="Q30" s="15">
        <f>IF(O30-P30&gt;0,O30-P30,0)</f>
        <v/>
      </c>
      <c r="R30" s="10" t="n"/>
      <c r="S30" s="17" t="n"/>
    </row>
    <row r="31" ht="13.5" customHeight="1">
      <c r="A31" s="18" t="inlineStr">
        <is>
          <t>4</t>
        </is>
      </c>
      <c r="B31" s="79" t="n">
        <v>46170</v>
      </c>
      <c r="C31" s="20" t="n">
        <v>0.1875</v>
      </c>
      <c r="D31" s="20" t="n">
        <v>0.5416666666666666</v>
      </c>
      <c r="E31" s="80" t="n">
        <v>0.1878009259259259</v>
      </c>
      <c r="F31" s="81" t="n">
        <v>0.5109606481481481</v>
      </c>
      <c r="G31" s="23">
        <f>IF(C31-E31&gt;0,+C31-E31,0)</f>
        <v/>
      </c>
      <c r="H31" s="23">
        <f>IF(F31-D31&gt;0,F31-D31,0)</f>
        <v/>
      </c>
      <c r="I31" s="24">
        <f>+G31+H31</f>
        <v/>
      </c>
      <c r="J31" s="23">
        <f>IF(E31-C31&gt;0,E31-C31,0)</f>
        <v/>
      </c>
      <c r="K31" s="23">
        <f>IF(F31-D31&lt;0,+(+F31-D31)*-1,0)</f>
        <v/>
      </c>
      <c r="L31" s="23">
        <f>+J31+K31</f>
        <v/>
      </c>
      <c r="M31" s="21" t="n"/>
      <c r="N31" s="25" t="n"/>
      <c r="O31" s="20">
        <f>(+F31-E31)</f>
        <v/>
      </c>
      <c r="P31" s="20" t="n"/>
      <c r="Q31" s="24" t="n"/>
      <c r="R31" s="20">
        <f>+F31-E31</f>
        <v/>
      </c>
      <c r="S31" s="17" t="n"/>
    </row>
    <row r="32" ht="13.5" customHeight="1">
      <c r="A32" s="8" t="inlineStr">
        <is>
          <t>4</t>
        </is>
      </c>
      <c r="B32" s="74" t="n">
        <v>46171</v>
      </c>
      <c r="C32" s="10" t="n">
        <v>0.1875</v>
      </c>
      <c r="D32" s="10" t="n">
        <v>0.5416666666666666</v>
      </c>
      <c r="E32" s="78" t="n">
        <v>0.1857638888888889</v>
      </c>
      <c r="F32" s="76" t="n">
        <v>0.5374652777777778</v>
      </c>
      <c r="G32" s="13">
        <f>IF(C32-E32&gt;0,+C32-E32,0)</f>
        <v/>
      </c>
      <c r="H32" s="13">
        <f>IF(F32-D32&gt;0,F32-D32,0)</f>
        <v/>
      </c>
      <c r="I32" s="14">
        <f>+G32+H32</f>
        <v/>
      </c>
      <c r="J32" s="13">
        <f>IF(E32-C32&gt;0,E32-C32,0)</f>
        <v/>
      </c>
      <c r="K32" s="13">
        <f>IF(F32-D32&lt;0,+(+F32-D32)*-1,0)</f>
        <v/>
      </c>
      <c r="L32" s="13">
        <f>+J32+K32</f>
        <v/>
      </c>
      <c r="M32" s="11" t="n">
        <v>0.25</v>
      </c>
      <c r="N32" s="15">
        <f>+M32-E32</f>
        <v/>
      </c>
      <c r="O32" s="16">
        <f>(+F32-E32)</f>
        <v/>
      </c>
      <c r="P32" s="10" t="n">
        <v>0.3333333333333333</v>
      </c>
      <c r="Q32" s="15">
        <f>IF(O32-P32&gt;0,O32-P32,0)</f>
        <v/>
      </c>
      <c r="R32" s="16" t="n"/>
      <c r="S32" s="17" t="n"/>
    </row>
    <row r="33" ht="13.5" customHeight="1">
      <c r="A33" s="8" t="inlineStr">
        <is>
          <t>4</t>
        </is>
      </c>
      <c r="B33" s="74" t="n">
        <v>46172</v>
      </c>
      <c r="C33" s="10" t="n">
        <v>0.1875</v>
      </c>
      <c r="D33" s="10" t="n">
        <v>0.5416666666666666</v>
      </c>
      <c r="E33" s="78" t="n">
        <v>0.1780787037037037</v>
      </c>
      <c r="F33" s="76" t="n">
        <v>0.5023263888888889</v>
      </c>
      <c r="G33" s="13">
        <f>IF(C33-E33&gt;0,+C33-E33,0)</f>
        <v/>
      </c>
      <c r="H33" s="13">
        <f>IF(F33-D33&gt;0,F33-D33,0)</f>
        <v/>
      </c>
      <c r="I33" s="14">
        <f>+G33+H33</f>
        <v/>
      </c>
      <c r="J33" s="13">
        <f>IF(E33-C33&gt;0,E33-C33,0)</f>
        <v/>
      </c>
      <c r="K33" s="13">
        <f>IF(F33-D33&lt;0,+(+F33-D33)*-1,0)</f>
        <v/>
      </c>
      <c r="L33" s="13">
        <f>+J33+K33</f>
        <v/>
      </c>
      <c r="M33" s="11" t="n">
        <v>0.25</v>
      </c>
      <c r="N33" s="15">
        <f>+M33-E33</f>
        <v/>
      </c>
      <c r="O33" s="16">
        <f>(+F33-E33)</f>
        <v/>
      </c>
      <c r="P33" s="10" t="n">
        <v>0.3333333333333333</v>
      </c>
      <c r="Q33" s="15">
        <f>IF(O33-P33&gt;0,O33-P33,0)</f>
        <v/>
      </c>
      <c r="R33" s="10" t="n"/>
      <c r="S33" s="17" t="n"/>
    </row>
    <row r="34" ht="13.5" customHeight="1">
      <c r="A34" s="28" t="n"/>
      <c r="B34" s="29" t="n"/>
      <c r="C34" s="30" t="n"/>
      <c r="D34" s="30" t="n"/>
      <c r="E34" s="31" t="n"/>
      <c r="F34" s="31" t="n"/>
      <c r="G34" s="29" t="n"/>
      <c r="H34" s="29" t="n"/>
      <c r="I34" s="29" t="n"/>
      <c r="J34" s="29" t="n"/>
      <c r="K34" s="29" t="n"/>
      <c r="L34" s="29" t="n"/>
      <c r="M34" s="29" t="n"/>
      <c r="N34" s="32">
        <f>SUM(N8:N33)</f>
        <v/>
      </c>
      <c r="O34" s="29" t="n"/>
      <c r="P34" s="29" t="n"/>
      <c r="Q34" s="32">
        <f>SUM(Q8:Q33)</f>
        <v/>
      </c>
      <c r="R34" s="32">
        <f>SUM(R8:R33)</f>
        <v/>
      </c>
    </row>
    <row r="35" ht="12.75" customHeight="1" thickBot="1">
      <c r="A35" s="33" t="n"/>
      <c r="C35" s="34" t="n"/>
      <c r="D35" s="34" t="n"/>
      <c r="Q35" s="35" t="n"/>
    </row>
    <row r="36" ht="36" customHeight="1">
      <c r="A36" s="36" t="n"/>
      <c r="F36" s="6" t="n"/>
      <c r="G36" s="72" t="n"/>
      <c r="H36" s="6" t="inlineStr">
        <is>
          <t>No horas</t>
        </is>
      </c>
      <c r="I36" s="6" t="inlineStr">
        <is>
          <t>No. minutos</t>
        </is>
      </c>
      <c r="J36" s="67" t="inlineStr">
        <is>
          <t>Valor x  hora  US$</t>
        </is>
      </c>
      <c r="K36" s="6" t="inlineStr">
        <is>
          <t xml:space="preserve"> Recargo</t>
        </is>
      </c>
      <c r="L36" s="37" t="inlineStr">
        <is>
          <t>Valor x  hora con recargo                     US$</t>
        </is>
      </c>
      <c r="M36" s="38" t="inlineStr">
        <is>
          <t>Valor        horas          US$</t>
        </is>
      </c>
      <c r="N36" s="39" t="inlineStr">
        <is>
          <t>Valor        minutos          US$</t>
        </is>
      </c>
      <c r="O36" s="40" t="inlineStr">
        <is>
          <t>Valor total US$</t>
        </is>
      </c>
      <c r="Q36" s="41" t="n"/>
    </row>
    <row r="37">
      <c r="A37" s="42" t="n"/>
      <c r="F37" s="6" t="n"/>
      <c r="G37" s="72" t="n"/>
      <c r="H37" s="82" t="n">
        <v>17</v>
      </c>
      <c r="I37" s="82" t="n">
        <v>46</v>
      </c>
      <c r="J37" s="83" t="n">
        <v>5.333</v>
      </c>
      <c r="K37" s="82" t="n">
        <v>0.25</v>
      </c>
      <c r="L37" s="84">
        <f>+J37*K37</f>
        <v/>
      </c>
      <c r="M37" s="46">
        <f>+H37*L37</f>
        <v/>
      </c>
      <c r="N37" s="47">
        <f>(+L37/60)*I37</f>
        <v/>
      </c>
      <c r="O37" s="48">
        <f>+M37+N37</f>
        <v/>
      </c>
    </row>
    <row r="38">
      <c r="A38" s="17" t="n"/>
      <c r="F38" s="6" t="n"/>
      <c r="G38" s="72" t="n"/>
      <c r="H38" s="82" t="n">
        <v>2</v>
      </c>
      <c r="I38" s="82" t="n">
        <v>54</v>
      </c>
      <c r="J38" s="83" t="n">
        <v>5.333</v>
      </c>
      <c r="K38" s="82" t="n">
        <v>1.5</v>
      </c>
      <c r="L38" s="84">
        <f>+J38*K38</f>
        <v/>
      </c>
      <c r="M38" s="46">
        <f>+H38*L38</f>
        <v/>
      </c>
      <c r="N38" s="47">
        <f>(+L38/60)*I38</f>
        <v/>
      </c>
      <c r="O38" s="48">
        <f>+M38+N38</f>
        <v/>
      </c>
    </row>
    <row r="39">
      <c r="A39" s="49" t="n"/>
      <c r="F39" s="6" t="n"/>
      <c r="G39" s="72" t="n"/>
      <c r="H39" s="82" t="n">
        <v>65</v>
      </c>
      <c r="I39" s="82" t="n">
        <v>1</v>
      </c>
      <c r="J39" s="83" t="n">
        <v>5.333</v>
      </c>
      <c r="K39" s="82" t="n">
        <v>2</v>
      </c>
      <c r="L39" s="84">
        <f>+J39*K39</f>
        <v/>
      </c>
      <c r="M39" s="46">
        <f>+H39*L39</f>
        <v/>
      </c>
      <c r="N39" s="47">
        <f>(+L39/60)*I39</f>
        <v/>
      </c>
      <c r="O39" s="48">
        <f>+M39+N39</f>
        <v/>
      </c>
      <c r="Q39" s="50" t="n"/>
      <c r="R39" s="50" t="n"/>
    </row>
    <row r="40" ht="21.75" customHeight="1" thickBot="1">
      <c r="A40" s="42" t="n"/>
      <c r="K40" s="51" t="inlineStr">
        <is>
          <t>Total</t>
        </is>
      </c>
      <c r="L40" s="52" t="n"/>
      <c r="M40" s="53">
        <f>SUM(M37:M39)</f>
        <v/>
      </c>
      <c r="N40" s="53">
        <f>SUM(N37:N39)</f>
        <v/>
      </c>
      <c r="O40" s="54">
        <f>SUM(O37:O39)</f>
        <v/>
      </c>
      <c r="Q40" s="65" t="inlineStr">
        <is>
          <t>FIRMA CONFORME</t>
        </is>
      </c>
      <c r="R40" s="85" t="n"/>
    </row>
    <row r="41">
      <c r="A41" s="28" t="n"/>
      <c r="L41" s="55" t="n"/>
    </row>
    <row r="42" ht="23.25" customHeight="1"/>
    <row r="43"/>
    <row r="44"/>
    <row r="45">
      <c r="A45" s="28" t="n"/>
    </row>
    <row r="46">
      <c r="A46" s="28" t="n"/>
    </row>
    <row r="47">
      <c r="A47" s="28" t="n"/>
      <c r="E47" s="56" t="n"/>
      <c r="J47" s="55" t="n"/>
    </row>
    <row r="48">
      <c r="A48" s="28" t="n"/>
    </row>
    <row r="49">
      <c r="A49" s="28" t="n"/>
    </row>
    <row r="50" ht="21.75" customHeight="1">
      <c r="A50" s="28" t="n"/>
    </row>
    <row r="51">
      <c r="A51" s="28" t="n"/>
    </row>
    <row r="53">
      <c r="E53" s="56" t="n"/>
    </row>
  </sheetData>
  <mergeCells count="13">
    <mergeCell ref="F37:G37"/>
    <mergeCell ref="Q40:R40"/>
    <mergeCell ref="F39:G39"/>
    <mergeCell ref="F38:G38"/>
    <mergeCell ref="G6:L6"/>
    <mergeCell ref="F36:G36"/>
    <mergeCell ref="E6:E7"/>
    <mergeCell ref="C6:C7"/>
    <mergeCell ref="A6:A7"/>
    <mergeCell ref="D6:D7"/>
    <mergeCell ref="B6:B7"/>
    <mergeCell ref="F6:F7"/>
    <mergeCell ref="M6:R6"/>
  </mergeCells>
  <pageMargins left="0" right="0" top="0" bottom="0" header="0" footer="0"/>
  <pageSetup orientation="landscape" paperSize="9" scale="77" horizontalDpi="4294967293" verticalDpi="7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2014-07-31T14:10:37Z</dcterms:created>
  <dcterms:modified xsi:type="dcterms:W3CDTF">2026-08-02T20:26:34Z</dcterms:modified>
  <cp:lastModifiedBy>PAN CASERO</cp:lastModifiedBy>
  <cp:lastPrinted>2026-06-01T13:50:54Z</cp:lastPrinted>
</cp:coreProperties>
</file>