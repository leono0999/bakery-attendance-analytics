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JUNIO" sheetId="1" state="visible" r:id="rId1"/>
    <sheet name="CALCULO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* #,##0.0000_-;\-* #,##0.0000_-;_-* &quot;-&quot;??_-;_-@_-"/>
    <numFmt numFmtId="166" formatCode="dd/mm/yyyy"/>
    <numFmt numFmtId="167" formatCode="hh:mm:ss"/>
  </numFmts>
  <fonts count="11">
    <font>
      <name val="Arial"/>
      <sz val="10"/>
    </font>
    <font>
      <name val="Arial"/>
      <family val="2"/>
      <sz val="10"/>
    </font>
    <font>
      <name val="Arial"/>
      <family val="2"/>
      <sz val="10"/>
    </font>
    <font>
      <name val="Eras Medium ITC"/>
      <family val="2"/>
      <sz val="8"/>
    </font>
    <font>
      <name val="Arial"/>
      <family val="2"/>
      <sz val="8"/>
    </font>
    <font>
      <name val="Malgun Gothic"/>
      <family val="2"/>
      <sz val="10"/>
    </font>
    <font>
      <name val="Malgun Gothic"/>
      <family val="2"/>
      <i val="1"/>
      <sz val="10"/>
    </font>
    <font>
      <name val="Malgun Gothic"/>
      <family val="2"/>
      <sz val="8"/>
    </font>
    <font>
      <name val="Tahoma"/>
      <family val="2"/>
      <sz val="8"/>
    </font>
    <font>
      <name val="Malgun Gothic"/>
      <family val="2"/>
      <color theme="0"/>
      <sz val="10"/>
    </font>
    <font>
      <name val="Tahoma"/>
      <charset val="1"/>
      <sz val="8"/>
    </font>
  </fonts>
  <fills count="4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/>
    <xf numFmtId="0" fontId="2" fillId="0" borderId="0"/>
    <xf numFmtId="0" fontId="2" fillId="0" borderId="0"/>
  </cellStyleXfs>
  <cellXfs count="10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21" fontId="5" fillId="0" borderId="3" applyAlignment="1" pivotButton="0" quotePrefix="0" xfId="0">
      <alignment horizontal="center"/>
    </xf>
    <xf numFmtId="0" fontId="6" fillId="0" borderId="0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wrapText="1"/>
    </xf>
    <xf numFmtId="0" fontId="5" fillId="0" borderId="3" applyAlignment="1" pivotButton="0" quotePrefix="0" xfId="0">
      <alignment horizontal="center" wrapText="1"/>
    </xf>
    <xf numFmtId="0" fontId="5" fillId="0" borderId="3" pivotButton="0" quotePrefix="0" xfId="2"/>
    <xf numFmtId="14" fontId="5" fillId="0" borderId="3" pivotButton="0" quotePrefix="0" xfId="2"/>
    <xf numFmtId="20" fontId="5" fillId="0" borderId="3" applyAlignment="1" pivotButton="0" quotePrefix="0" xfId="0">
      <alignment horizontal="right"/>
    </xf>
    <xf numFmtId="20" fontId="5" fillId="0" borderId="3" applyAlignment="1" pivotButton="0" quotePrefix="0" xfId="0">
      <alignment horizontal="center"/>
    </xf>
    <xf numFmtId="21" fontId="5" fillId="0" borderId="2" applyAlignment="1" pivotButton="0" quotePrefix="0" xfId="0">
      <alignment horizontal="right"/>
    </xf>
    <xf numFmtId="21" fontId="5" fillId="0" borderId="3" applyAlignment="1" pivotButton="0" quotePrefix="0" xfId="0">
      <alignment horizontal="right"/>
    </xf>
    <xf numFmtId="20" fontId="5" fillId="0" borderId="10" applyAlignment="1" pivotButton="0" quotePrefix="0" xfId="0">
      <alignment horizontal="right"/>
    </xf>
    <xf numFmtId="21" fontId="5" fillId="0" borderId="2" applyAlignment="1" pivotButton="0" quotePrefix="0" xfId="0">
      <alignment horizontal="center"/>
    </xf>
    <xf numFmtId="21" fontId="5" fillId="0" borderId="3" pivotButton="0" quotePrefix="0" xfId="0"/>
    <xf numFmtId="49" fontId="5" fillId="0" borderId="0" pivotButton="0" quotePrefix="0" xfId="0"/>
    <xf numFmtId="0" fontId="5" fillId="2" borderId="3" pivotButton="0" quotePrefix="0" xfId="2"/>
    <xf numFmtId="14" fontId="5" fillId="2" borderId="3" pivotButton="0" quotePrefix="0" xfId="2"/>
    <xf numFmtId="20" fontId="5" fillId="2" borderId="3" applyAlignment="1" pivotButton="0" quotePrefix="0" xfId="0">
      <alignment horizontal="right"/>
    </xf>
    <xf numFmtId="20" fontId="5" fillId="2" borderId="3" applyAlignment="1" pivotButton="0" quotePrefix="0" xfId="0">
      <alignment horizontal="center"/>
    </xf>
    <xf numFmtId="21" fontId="5" fillId="2" borderId="2" applyAlignment="1" pivotButton="0" quotePrefix="0" xfId="0">
      <alignment horizontal="right"/>
    </xf>
    <xf numFmtId="21" fontId="5" fillId="2" borderId="3" applyAlignment="1" pivotButton="0" quotePrefix="0" xfId="0">
      <alignment horizontal="right"/>
    </xf>
    <xf numFmtId="20" fontId="5" fillId="2" borderId="10" applyAlignment="1" pivotButton="0" quotePrefix="0" xfId="0">
      <alignment horizontal="right"/>
    </xf>
    <xf numFmtId="21" fontId="5" fillId="2" borderId="2" applyAlignment="1" pivotButton="0" quotePrefix="0" xfId="0">
      <alignment horizontal="center"/>
    </xf>
    <xf numFmtId="21" fontId="5" fillId="2" borderId="3" applyAlignment="1" pivotButton="0" quotePrefix="0" xfId="0">
      <alignment horizontal="center"/>
    </xf>
    <xf numFmtId="21" fontId="5" fillId="2" borderId="3" pivotButton="0" quotePrefix="0" xfId="0"/>
    <xf numFmtId="0" fontId="5" fillId="0" borderId="0" pivotButton="0" quotePrefix="0" xfId="2"/>
    <xf numFmtId="14" fontId="5" fillId="0" borderId="0" pivotButton="0" quotePrefix="0" xfId="2"/>
    <xf numFmtId="20" fontId="5" fillId="0" borderId="0" applyAlignment="1" pivotButton="0" quotePrefix="0" xfId="0">
      <alignment horizontal="right"/>
    </xf>
    <xf numFmtId="20" fontId="5" fillId="0" borderId="0" applyAlignment="1" pivotButton="0" quotePrefix="0" xfId="0">
      <alignment horizontal="center"/>
    </xf>
    <xf numFmtId="21" fontId="5" fillId="0" borderId="20" applyAlignment="1" pivotButton="0" quotePrefix="0" xfId="0">
      <alignment horizontal="right"/>
    </xf>
    <xf numFmtId="21" fontId="5" fillId="0" borderId="21" applyAlignment="1" pivotButton="0" quotePrefix="0" xfId="0">
      <alignment horizontal="right"/>
    </xf>
    <xf numFmtId="20" fontId="5" fillId="0" borderId="22" applyAlignment="1" pivotButton="0" quotePrefix="0" xfId="0">
      <alignment horizontal="right"/>
    </xf>
    <xf numFmtId="21" fontId="5" fillId="0" borderId="14" applyAlignment="1" pivotButton="0" quotePrefix="0" xfId="0">
      <alignment horizontal="center"/>
    </xf>
    <xf numFmtId="21" fontId="5" fillId="0" borderId="4" applyAlignment="1" pivotButton="0" quotePrefix="0" xfId="0">
      <alignment horizontal="center"/>
    </xf>
    <xf numFmtId="21" fontId="5" fillId="0" borderId="4" pivotButton="0" quotePrefix="0" xfId="0"/>
    <xf numFmtId="20" fontId="5" fillId="0" borderId="0" applyAlignment="1" pivotButton="0" quotePrefix="0" xfId="0">
      <alignment horizontal="left"/>
    </xf>
    <xf numFmtId="46" fontId="5" fillId="0" borderId="11" applyAlignment="1" pivotButton="0" quotePrefix="0" xfId="0">
      <alignment horizontal="center"/>
    </xf>
    <xf numFmtId="46" fontId="5" fillId="0" borderId="12" applyAlignment="1" pivotButton="0" quotePrefix="0" xfId="0">
      <alignment horizontal="center"/>
    </xf>
    <xf numFmtId="46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46" fontId="5" fillId="0" borderId="4" applyAlignment="1" pivotButton="0" quotePrefix="0" xfId="0">
      <alignment horizontal="center"/>
    </xf>
    <xf numFmtId="46" fontId="5" fillId="0" borderId="0" pivotButton="0" quotePrefix="0" xfId="0"/>
    <xf numFmtId="21" fontId="5" fillId="0" borderId="0" pivotButton="0" quotePrefix="0" xfId="0"/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7" fillId="0" borderId="3" pivotButton="0" quotePrefix="0" xfId="0"/>
    <xf numFmtId="2" fontId="5" fillId="0" borderId="3" pivotButton="0" quotePrefix="0" xfId="0"/>
    <xf numFmtId="164" fontId="5" fillId="0" borderId="3" pivotButton="0" quotePrefix="0" xfId="1"/>
    <xf numFmtId="164" fontId="5" fillId="0" borderId="5" pivotButton="0" quotePrefix="0" xfId="0"/>
    <xf numFmtId="2" fontId="5" fillId="0" borderId="9" pivotButton="0" quotePrefix="0" xfId="1"/>
    <xf numFmtId="2" fontId="5" fillId="0" borderId="10" pivotButton="0" quotePrefix="0" xfId="0"/>
    <xf numFmtId="21" fontId="5" fillId="0" borderId="0" applyAlignment="1" pivotButton="0" quotePrefix="0" xfId="2">
      <alignment horizontal="left"/>
    </xf>
    <xf numFmtId="2" fontId="5" fillId="0" borderId="15" pivotButton="0" quotePrefix="0" xfId="1"/>
    <xf numFmtId="2" fontId="5" fillId="0" borderId="1" pivotButton="0" quotePrefix="0" xfId="0"/>
    <xf numFmtId="0" fontId="5" fillId="0" borderId="16" pivotButton="0" quotePrefix="0" xfId="0"/>
    <xf numFmtId="0" fontId="5" fillId="0" borderId="3" pivotButton="0" quotePrefix="0" xfId="0"/>
    <xf numFmtId="0" fontId="5" fillId="0" borderId="5" pivotButton="0" quotePrefix="0" xfId="0"/>
    <xf numFmtId="2" fontId="5" fillId="0" borderId="17" pivotButton="0" quotePrefix="0" xfId="0"/>
    <xf numFmtId="2" fontId="5" fillId="0" borderId="18" pivotButton="0" quotePrefix="0" xfId="0"/>
    <xf numFmtId="49" fontId="8" fillId="3" borderId="23" applyAlignment="1" pivotButton="0" quotePrefix="0" xfId="0">
      <alignment horizontal="left" vertical="center"/>
    </xf>
    <xf numFmtId="165" fontId="5" fillId="0" borderId="3" pivotButton="0" quotePrefix="0" xfId="1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21" fontId="9" fillId="0" borderId="0" applyAlignment="1" pivotButton="0" quotePrefix="0" xfId="0">
      <alignment horizontal="center"/>
    </xf>
    <xf numFmtId="49" fontId="10" fillId="3" borderId="23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/>
    </xf>
    <xf numFmtId="0" fontId="5" fillId="0" borderId="19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3" applyAlignment="1" pivotButton="0" quotePrefix="0" xfId="2">
      <alignment horizontal="center" vertical="center" wrapText="1"/>
    </xf>
    <xf numFmtId="0" fontId="5" fillId="0" borderId="3" applyAlignment="1" pivotButton="0" quotePrefix="0" xfId="2">
      <alignment horizontal="center" wrapText="1"/>
    </xf>
    <xf numFmtId="0" fontId="5" fillId="0" borderId="5" applyAlignment="1" pivotButton="0" quotePrefix="0" xfId="2">
      <alignment horizontal="center" wrapText="1"/>
    </xf>
    <xf numFmtId="0" fontId="5" fillId="0" borderId="6" applyAlignment="1" pivotButton="0" quotePrefix="0" xfId="0">
      <alignment horizontal="center" wrapText="1"/>
    </xf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26" pivotButton="0" quotePrefix="0" xfId="0"/>
    <xf numFmtId="166" fontId="5" fillId="0" borderId="3" pivotButton="0" quotePrefix="0" xfId="2"/>
    <xf numFmtId="167" fontId="5" fillId="0" borderId="3" applyAlignment="1" pivotButton="0" quotePrefix="0" xfId="0">
      <alignment horizontal="center"/>
    </xf>
    <xf numFmtId="166" fontId="5" fillId="2" borderId="3" pivotButton="0" quotePrefix="0" xfId="2"/>
    <xf numFmtId="167" fontId="5" fillId="2" borderId="3" applyAlignment="1" pivotButton="0" quotePrefix="0" xfId="0">
      <alignment horizontal="center"/>
    </xf>
    <xf numFmtId="165" fontId="5" fillId="0" borderId="3" pivotButton="0" quotePrefix="0" xfId="1"/>
    <xf numFmtId="164" fontId="5" fillId="0" borderId="3" pivotButton="0" quotePrefix="0" xfId="1"/>
    <xf numFmtId="164" fontId="5" fillId="0" borderId="5" pivotButton="0" quotePrefix="0" xfId="0"/>
    <xf numFmtId="0" fontId="0" fillId="0" borderId="19" pivotButton="0" quotePrefix="0" xfId="0"/>
  </cellXfs>
  <cellStyles count="4">
    <cellStyle name="Normal" xfId="0" builtinId="0"/>
    <cellStyle name="Millares" xfId="1" builtinId="3"/>
    <cellStyle name="Normal 2" xfId="2"/>
    <cellStyle name="Normal 3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tabSelected="1" workbookViewId="0">
      <selection activeCell="E6" sqref="E6"/>
    </sheetView>
  </sheetViews>
  <sheetFormatPr baseColWidth="10" defaultRowHeight="11.25"/>
  <cols>
    <col width="8.42578125" customWidth="1" style="1" min="1" max="1"/>
    <col width="11.42578125" customWidth="1" style="1" min="2" max="2"/>
    <col width="17.140625" customWidth="1" style="1" min="3" max="3"/>
    <col width="27.140625" customWidth="1" style="1" min="4" max="4"/>
    <col width="11.42578125" customWidth="1" style="1" min="5" max="238"/>
    <col width="20" customWidth="1" style="1" min="239" max="239"/>
    <col width="11.42578125" customWidth="1" style="1" min="240" max="494"/>
    <col width="20" customWidth="1" style="1" min="495" max="495"/>
    <col width="11.42578125" customWidth="1" style="1" min="496" max="750"/>
    <col width="20" customWidth="1" style="1" min="751" max="751"/>
    <col width="11.42578125" customWidth="1" style="1" min="752" max="1006"/>
    <col width="20" customWidth="1" style="1" min="1007" max="1007"/>
    <col width="11.42578125" customWidth="1" style="1" min="1008" max="1262"/>
    <col width="20" customWidth="1" style="1" min="1263" max="1263"/>
    <col width="11.42578125" customWidth="1" style="1" min="1264" max="1518"/>
    <col width="20" customWidth="1" style="1" min="1519" max="1519"/>
    <col width="11.42578125" customWidth="1" style="1" min="1520" max="1774"/>
    <col width="20" customWidth="1" style="1" min="1775" max="1775"/>
    <col width="11.42578125" customWidth="1" style="1" min="1776" max="2030"/>
    <col width="20" customWidth="1" style="1" min="2031" max="2031"/>
    <col width="11.42578125" customWidth="1" style="1" min="2032" max="2286"/>
    <col width="20" customWidth="1" style="1" min="2287" max="2287"/>
    <col width="11.42578125" customWidth="1" style="1" min="2288" max="2542"/>
    <col width="20" customWidth="1" style="1" min="2543" max="2543"/>
    <col width="11.42578125" customWidth="1" style="1" min="2544" max="2798"/>
    <col width="20" customWidth="1" style="1" min="2799" max="2799"/>
    <col width="11.42578125" customWidth="1" style="1" min="2800" max="3054"/>
    <col width="20" customWidth="1" style="1" min="3055" max="3055"/>
    <col width="11.42578125" customWidth="1" style="1" min="3056" max="3310"/>
    <col width="20" customWidth="1" style="1" min="3311" max="3311"/>
    <col width="11.42578125" customWidth="1" style="1" min="3312" max="3566"/>
    <col width="20" customWidth="1" style="1" min="3567" max="3567"/>
    <col width="11.42578125" customWidth="1" style="1" min="3568" max="3822"/>
    <col width="20" customWidth="1" style="1" min="3823" max="3823"/>
    <col width="11.42578125" customWidth="1" style="1" min="3824" max="4078"/>
    <col width="20" customWidth="1" style="1" min="4079" max="4079"/>
    <col width="11.42578125" customWidth="1" style="1" min="4080" max="4334"/>
    <col width="20" customWidth="1" style="1" min="4335" max="4335"/>
    <col width="11.42578125" customWidth="1" style="1" min="4336" max="4590"/>
    <col width="20" customWidth="1" style="1" min="4591" max="4591"/>
    <col width="11.42578125" customWidth="1" style="1" min="4592" max="4846"/>
    <col width="20" customWidth="1" style="1" min="4847" max="4847"/>
    <col width="11.42578125" customWidth="1" style="1" min="4848" max="5102"/>
    <col width="20" customWidth="1" style="1" min="5103" max="5103"/>
    <col width="11.42578125" customWidth="1" style="1" min="5104" max="5358"/>
    <col width="20" customWidth="1" style="1" min="5359" max="5359"/>
    <col width="11.42578125" customWidth="1" style="1" min="5360" max="5614"/>
    <col width="20" customWidth="1" style="1" min="5615" max="5615"/>
    <col width="11.42578125" customWidth="1" style="1" min="5616" max="5870"/>
    <col width="20" customWidth="1" style="1" min="5871" max="5871"/>
    <col width="11.42578125" customWidth="1" style="1" min="5872" max="6126"/>
    <col width="20" customWidth="1" style="1" min="6127" max="6127"/>
    <col width="11.42578125" customWidth="1" style="1" min="6128" max="6382"/>
    <col width="20" customWidth="1" style="1" min="6383" max="6383"/>
    <col width="11.42578125" customWidth="1" style="1" min="6384" max="6638"/>
    <col width="20" customWidth="1" style="1" min="6639" max="6639"/>
    <col width="11.42578125" customWidth="1" style="1" min="6640" max="6894"/>
    <col width="20" customWidth="1" style="1" min="6895" max="6895"/>
    <col width="11.42578125" customWidth="1" style="1" min="6896" max="7150"/>
    <col width="20" customWidth="1" style="1" min="7151" max="7151"/>
    <col width="11.42578125" customWidth="1" style="1" min="7152" max="7406"/>
    <col width="20" customWidth="1" style="1" min="7407" max="7407"/>
    <col width="11.42578125" customWidth="1" style="1" min="7408" max="7662"/>
    <col width="20" customWidth="1" style="1" min="7663" max="7663"/>
    <col width="11.42578125" customWidth="1" style="1" min="7664" max="7918"/>
    <col width="20" customWidth="1" style="1" min="7919" max="7919"/>
    <col width="11.42578125" customWidth="1" style="1" min="7920" max="8174"/>
    <col width="20" customWidth="1" style="1" min="8175" max="8175"/>
    <col width="11.42578125" customWidth="1" style="1" min="8176" max="8430"/>
    <col width="20" customWidth="1" style="1" min="8431" max="8431"/>
    <col width="11.42578125" customWidth="1" style="1" min="8432" max="8686"/>
    <col width="20" customWidth="1" style="1" min="8687" max="8687"/>
    <col width="11.42578125" customWidth="1" style="1" min="8688" max="8942"/>
    <col width="20" customWidth="1" style="1" min="8943" max="8943"/>
    <col width="11.42578125" customWidth="1" style="1" min="8944" max="9198"/>
    <col width="20" customWidth="1" style="1" min="9199" max="9199"/>
    <col width="11.42578125" customWidth="1" style="1" min="9200" max="9454"/>
    <col width="20" customWidth="1" style="1" min="9455" max="9455"/>
    <col width="11.42578125" customWidth="1" style="1" min="9456" max="9710"/>
    <col width="20" customWidth="1" style="1" min="9711" max="9711"/>
    <col width="11.42578125" customWidth="1" style="1" min="9712" max="9966"/>
    <col width="20" customWidth="1" style="1" min="9967" max="9967"/>
    <col width="11.42578125" customWidth="1" style="1" min="9968" max="10222"/>
    <col width="20" customWidth="1" style="1" min="10223" max="10223"/>
    <col width="11.42578125" customWidth="1" style="1" min="10224" max="10478"/>
    <col width="20" customWidth="1" style="1" min="10479" max="10479"/>
    <col width="11.42578125" customWidth="1" style="1" min="10480" max="10734"/>
    <col width="20" customWidth="1" style="1" min="10735" max="10735"/>
    <col width="11.42578125" customWidth="1" style="1" min="10736" max="10990"/>
    <col width="20" customWidth="1" style="1" min="10991" max="10991"/>
    <col width="11.42578125" customWidth="1" style="1" min="10992" max="11246"/>
    <col width="20" customWidth="1" style="1" min="11247" max="11247"/>
    <col width="11.42578125" customWidth="1" style="1" min="11248" max="11502"/>
    <col width="20" customWidth="1" style="1" min="11503" max="11503"/>
    <col width="11.42578125" customWidth="1" style="1" min="11504" max="11758"/>
    <col width="20" customWidth="1" style="1" min="11759" max="11759"/>
    <col width="11.42578125" customWidth="1" style="1" min="11760" max="12014"/>
    <col width="20" customWidth="1" style="1" min="12015" max="12015"/>
    <col width="11.42578125" customWidth="1" style="1" min="12016" max="12270"/>
    <col width="20" customWidth="1" style="1" min="12271" max="12271"/>
    <col width="11.42578125" customWidth="1" style="1" min="12272" max="12526"/>
    <col width="20" customWidth="1" style="1" min="12527" max="12527"/>
    <col width="11.42578125" customWidth="1" style="1" min="12528" max="12782"/>
    <col width="20" customWidth="1" style="1" min="12783" max="12783"/>
    <col width="11.42578125" customWidth="1" style="1" min="12784" max="13038"/>
    <col width="20" customWidth="1" style="1" min="13039" max="13039"/>
    <col width="11.42578125" customWidth="1" style="1" min="13040" max="13294"/>
    <col width="20" customWidth="1" style="1" min="13295" max="13295"/>
    <col width="11.42578125" customWidth="1" style="1" min="13296" max="13550"/>
    <col width="20" customWidth="1" style="1" min="13551" max="13551"/>
    <col width="11.42578125" customWidth="1" style="1" min="13552" max="13806"/>
    <col width="20" customWidth="1" style="1" min="13807" max="13807"/>
    <col width="11.42578125" customWidth="1" style="1" min="13808" max="14062"/>
    <col width="20" customWidth="1" style="1" min="14063" max="14063"/>
    <col width="11.42578125" customWidth="1" style="1" min="14064" max="14318"/>
    <col width="20" customWidth="1" style="1" min="14319" max="14319"/>
    <col width="11.42578125" customWidth="1" style="1" min="14320" max="14574"/>
    <col width="20" customWidth="1" style="1" min="14575" max="14575"/>
    <col width="11.42578125" customWidth="1" style="1" min="14576" max="14830"/>
    <col width="20" customWidth="1" style="1" min="14831" max="14831"/>
    <col width="11.42578125" customWidth="1" style="1" min="14832" max="15086"/>
    <col width="20" customWidth="1" style="1" min="15087" max="15087"/>
    <col width="11.42578125" customWidth="1" style="1" min="15088" max="15342"/>
    <col width="20" customWidth="1" style="1" min="15343" max="15343"/>
    <col width="11.42578125" customWidth="1" style="1" min="15344" max="15598"/>
    <col width="20" customWidth="1" style="1" min="15599" max="15599"/>
    <col width="11.42578125" customWidth="1" style="1" min="15600" max="15854"/>
    <col width="20" customWidth="1" style="1" min="15855" max="15855"/>
    <col width="11.42578125" customWidth="1" style="1" min="15856" max="16110"/>
    <col width="20" customWidth="1" style="1" min="16111" max="16111"/>
    <col width="11.42578125" customWidth="1" style="1" min="16112" max="16384"/>
  </cols>
  <sheetData>
    <row r="1">
      <c r="A1" s="1" t="inlineStr">
        <is>
          <t>AC-No.</t>
        </is>
      </c>
      <c r="B1" s="1" t="inlineStr">
        <is>
          <t>IMSS/CURP</t>
        </is>
      </c>
      <c r="C1" s="1" t="inlineStr">
        <is>
          <t>Nombre</t>
        </is>
      </c>
      <c r="D1" s="1" t="inlineStr">
        <is>
          <t>Fecha y hora</t>
        </is>
      </c>
    </row>
    <row r="2" ht="21" customHeight="1">
      <c r="A2" s="75" t="inlineStr">
        <is>
          <t>6</t>
        </is>
      </c>
      <c r="B2" s="75" t="inlineStr">
        <is>
          <t>HECTOR C</t>
        </is>
      </c>
      <c r="C2" s="75" t="inlineStr">
        <is>
          <t>01/06/2026 10:34:33</t>
        </is>
      </c>
      <c r="D2" s="2" t="n"/>
    </row>
    <row r="3" ht="21" customHeight="1">
      <c r="A3" s="75" t="inlineStr">
        <is>
          <t>6</t>
        </is>
      </c>
      <c r="B3" s="75" t="inlineStr">
        <is>
          <t>HECTOR C</t>
        </is>
      </c>
      <c r="C3" s="75" t="inlineStr">
        <is>
          <t>01/06/2026 18:41:04</t>
        </is>
      </c>
      <c r="D3" s="2" t="n"/>
    </row>
    <row r="4" ht="21" customHeight="1">
      <c r="A4" s="75" t="inlineStr">
        <is>
          <t>6</t>
        </is>
      </c>
      <c r="B4" s="75" t="inlineStr">
        <is>
          <t>HECTOR C</t>
        </is>
      </c>
      <c r="C4" s="75" t="inlineStr">
        <is>
          <t>02/06/2026 10:34:10</t>
        </is>
      </c>
      <c r="D4" s="2" t="n"/>
    </row>
    <row r="5" ht="21" customHeight="1">
      <c r="A5" s="75" t="inlineStr">
        <is>
          <t>6</t>
        </is>
      </c>
      <c r="B5" s="75" t="inlineStr">
        <is>
          <t>HECTOR C</t>
        </is>
      </c>
      <c r="C5" s="75" t="inlineStr">
        <is>
          <t>02/06/2026 18:27:54</t>
        </is>
      </c>
      <c r="D5" s="2" t="n"/>
    </row>
    <row r="6" ht="21" customHeight="1">
      <c r="A6" s="75" t="inlineStr">
        <is>
          <t>6</t>
        </is>
      </c>
      <c r="B6" s="75" t="inlineStr">
        <is>
          <t>HECTOR C</t>
        </is>
      </c>
      <c r="C6" s="75" t="inlineStr">
        <is>
          <t>03/06/2026 10:30:36</t>
        </is>
      </c>
      <c r="D6" s="2" t="n"/>
    </row>
    <row r="7" ht="21" customHeight="1">
      <c r="A7" s="75" t="inlineStr">
        <is>
          <t>6</t>
        </is>
      </c>
      <c r="B7" s="75" t="inlineStr">
        <is>
          <t>HECTOR C</t>
        </is>
      </c>
      <c r="C7" s="75" t="inlineStr">
        <is>
          <t>03/06/2026 19:05:50</t>
        </is>
      </c>
      <c r="D7" s="2" t="n"/>
    </row>
    <row r="8" ht="21" customHeight="1">
      <c r="A8" s="75" t="inlineStr">
        <is>
          <t>6</t>
        </is>
      </c>
      <c r="B8" s="75" t="inlineStr">
        <is>
          <t>HECTOR C</t>
        </is>
      </c>
      <c r="C8" s="75" t="inlineStr">
        <is>
          <t>04/06/2026 10:31:37</t>
        </is>
      </c>
      <c r="D8" s="2" t="n"/>
    </row>
    <row r="9" ht="21" customHeight="1">
      <c r="A9" s="75" t="inlineStr">
        <is>
          <t>6</t>
        </is>
      </c>
      <c r="B9" s="75" t="inlineStr">
        <is>
          <t>HECTOR C</t>
        </is>
      </c>
      <c r="C9" s="75" t="inlineStr">
        <is>
          <t>04/06/2026 18:47:57</t>
        </is>
      </c>
      <c r="D9" s="2" t="n"/>
    </row>
    <row r="10" ht="21" customHeight="1">
      <c r="A10" s="75" t="inlineStr">
        <is>
          <t>6</t>
        </is>
      </c>
      <c r="B10" s="75" t="inlineStr">
        <is>
          <t>HECTOR C</t>
        </is>
      </c>
      <c r="C10" s="75" t="inlineStr">
        <is>
          <t>05/06/2026 10:32:02</t>
        </is>
      </c>
      <c r="D10" s="2" t="n"/>
    </row>
    <row r="11" ht="21" customHeight="1">
      <c r="A11" s="75" t="inlineStr">
        <is>
          <t>6</t>
        </is>
      </c>
      <c r="B11" s="75" t="inlineStr">
        <is>
          <t>HECTOR C</t>
        </is>
      </c>
      <c r="C11" s="75" t="inlineStr">
        <is>
          <t>05/06/2026 19:01:48</t>
        </is>
      </c>
      <c r="D11" s="2" t="n"/>
    </row>
    <row r="12" ht="21" customHeight="1">
      <c r="A12" s="75" t="inlineStr">
        <is>
          <t>6</t>
        </is>
      </c>
      <c r="B12" s="75" t="inlineStr">
        <is>
          <t>HECTOR C</t>
        </is>
      </c>
      <c r="C12" s="75" t="inlineStr">
        <is>
          <t>06/06/2026 17:52:25</t>
        </is>
      </c>
      <c r="D12" s="2" t="n"/>
    </row>
    <row r="13" ht="21" customHeight="1">
      <c r="A13" s="75" t="inlineStr">
        <is>
          <t>6</t>
        </is>
      </c>
      <c r="B13" s="75" t="inlineStr">
        <is>
          <t>HECTOR C</t>
        </is>
      </c>
      <c r="C13" s="75" t="inlineStr">
        <is>
          <t>08/06/2026 10:31:20</t>
        </is>
      </c>
      <c r="D13" s="2" t="n"/>
    </row>
    <row r="14" ht="21" customHeight="1">
      <c r="A14" s="75" t="inlineStr">
        <is>
          <t>6</t>
        </is>
      </c>
      <c r="B14" s="75" t="inlineStr">
        <is>
          <t>HECTOR C</t>
        </is>
      </c>
      <c r="C14" s="75" t="inlineStr">
        <is>
          <t>08/06/2026 18:37:00</t>
        </is>
      </c>
      <c r="D14" s="2" t="n"/>
    </row>
    <row r="15" ht="21" customHeight="1">
      <c r="A15" s="75" t="inlineStr">
        <is>
          <t>6</t>
        </is>
      </c>
      <c r="B15" s="75" t="inlineStr">
        <is>
          <t>HECTOR C</t>
        </is>
      </c>
      <c r="C15" s="75" t="inlineStr">
        <is>
          <t>09/06/2026 10:25:47</t>
        </is>
      </c>
      <c r="D15" s="2" t="n"/>
    </row>
    <row r="16" ht="21" customHeight="1">
      <c r="A16" s="75" t="inlineStr">
        <is>
          <t>6</t>
        </is>
      </c>
      <c r="B16" s="75" t="inlineStr">
        <is>
          <t>HECTOR C</t>
        </is>
      </c>
      <c r="C16" s="75" t="inlineStr">
        <is>
          <t>09/06/2026 18:44:30</t>
        </is>
      </c>
      <c r="D16" s="2" t="n"/>
    </row>
    <row r="17" ht="21" customHeight="1">
      <c r="A17" s="75" t="inlineStr">
        <is>
          <t>6</t>
        </is>
      </c>
      <c r="B17" s="75" t="inlineStr">
        <is>
          <t>HECTOR C</t>
        </is>
      </c>
      <c r="C17" s="75" t="inlineStr">
        <is>
          <t>10/06/2026 07:13:35</t>
        </is>
      </c>
      <c r="D17" s="2" t="n"/>
    </row>
    <row r="18" ht="21" customHeight="1">
      <c r="A18" s="75" t="inlineStr">
        <is>
          <t>6</t>
        </is>
      </c>
      <c r="B18" s="75" t="inlineStr">
        <is>
          <t>HECTOR C</t>
        </is>
      </c>
      <c r="C18" s="75" t="inlineStr">
        <is>
          <t>10/06/2026 18:54:12</t>
        </is>
      </c>
      <c r="D18" s="2" t="n"/>
    </row>
    <row r="19" ht="21" customHeight="1">
      <c r="A19" s="75" t="inlineStr">
        <is>
          <t>6</t>
        </is>
      </c>
      <c r="B19" s="75" t="inlineStr">
        <is>
          <t>HECTOR C</t>
        </is>
      </c>
      <c r="C19" s="75" t="inlineStr">
        <is>
          <t>11/06/2026 10:32:17</t>
        </is>
      </c>
      <c r="D19" s="2" t="n"/>
    </row>
    <row r="20" ht="21" customHeight="1">
      <c r="A20" s="75" t="inlineStr">
        <is>
          <t>6</t>
        </is>
      </c>
      <c r="B20" s="75" t="inlineStr">
        <is>
          <t>HECTOR C</t>
        </is>
      </c>
      <c r="C20" s="75" t="inlineStr">
        <is>
          <t>11/06/2026 19:02:53</t>
        </is>
      </c>
      <c r="D20" s="2" t="n"/>
    </row>
    <row r="21" ht="21" customHeight="1">
      <c r="A21" s="75" t="inlineStr">
        <is>
          <t>6</t>
        </is>
      </c>
      <c r="B21" s="75" t="inlineStr">
        <is>
          <t>HECTOR C</t>
        </is>
      </c>
      <c r="C21" s="75" t="inlineStr">
        <is>
          <t>12/06/2026 10:29:27</t>
        </is>
      </c>
      <c r="D21" s="2" t="n"/>
    </row>
    <row r="22" ht="21" customHeight="1">
      <c r="A22" s="75" t="n"/>
      <c r="B22" s="75" t="n"/>
      <c r="C22" s="75" t="n"/>
      <c r="D22" s="2" t="n"/>
    </row>
    <row r="23" ht="21" customHeight="1">
      <c r="A23" s="75" t="n"/>
      <c r="B23" s="75" t="n"/>
      <c r="C23" s="75" t="n"/>
      <c r="D23" s="2" t="n"/>
    </row>
    <row r="24" ht="21" customHeight="1">
      <c r="A24" s="75" t="n"/>
      <c r="B24" s="75" t="n"/>
      <c r="C24" s="75" t="n"/>
      <c r="D24" s="2" t="n"/>
    </row>
    <row r="25" ht="21" customHeight="1">
      <c r="A25" s="75" t="n"/>
      <c r="B25" s="75" t="n"/>
      <c r="C25" s="75" t="n"/>
      <c r="D25" s="2" t="n"/>
    </row>
    <row r="26" ht="21" customHeight="1">
      <c r="A26" s="75" t="n"/>
      <c r="B26" s="75" t="n"/>
      <c r="C26" s="75" t="n"/>
      <c r="D26" s="2" t="n"/>
    </row>
    <row r="27" ht="21" customHeight="1">
      <c r="A27" s="75" t="n"/>
      <c r="B27" s="75" t="n"/>
      <c r="C27" s="75" t="n"/>
      <c r="D27" s="2" t="n"/>
    </row>
    <row r="28" ht="21" customHeight="1">
      <c r="A28" s="75" t="n"/>
      <c r="B28" s="75" t="n"/>
      <c r="C28" s="75" t="n"/>
      <c r="D28" s="2" t="n"/>
    </row>
    <row r="29" ht="21" customHeight="1">
      <c r="A29" s="75" t="n"/>
      <c r="B29" s="75" t="n"/>
      <c r="C29" s="75" t="n"/>
      <c r="D29" s="2" t="n"/>
    </row>
    <row r="30" ht="21" customHeight="1">
      <c r="A30" s="75" t="n"/>
      <c r="B30" s="75" t="n"/>
      <c r="C30" s="75" t="n"/>
      <c r="D30" s="2" t="n"/>
    </row>
    <row r="31" ht="21" customHeight="1">
      <c r="A31" s="75" t="n"/>
      <c r="B31" s="75" t="n"/>
      <c r="C31" s="75" t="n"/>
      <c r="D31" s="2" t="n"/>
    </row>
    <row r="32" ht="21" customHeight="1">
      <c r="A32" s="75" t="n"/>
      <c r="B32" s="75" t="n"/>
      <c r="C32" s="75" t="n"/>
      <c r="D32" s="2" t="n"/>
    </row>
    <row r="33" ht="21" customHeight="1">
      <c r="A33" s="75" t="n"/>
      <c r="B33" s="75" t="n"/>
      <c r="C33" s="75" t="n"/>
      <c r="D33" s="2" t="n"/>
    </row>
    <row r="34" ht="21" customHeight="1">
      <c r="A34" s="75" t="n"/>
      <c r="B34" s="75" t="n"/>
      <c r="C34" s="75" t="n"/>
      <c r="D34" s="2" t="n"/>
    </row>
    <row r="35" ht="21" customHeight="1">
      <c r="A35" s="75" t="n"/>
      <c r="B35" s="75" t="n"/>
      <c r="C35" s="75" t="n"/>
      <c r="D35" s="2" t="n"/>
    </row>
    <row r="36" ht="21" customHeight="1">
      <c r="A36" s="75" t="n"/>
      <c r="B36" s="75" t="n"/>
      <c r="C36" s="75" t="n"/>
      <c r="D36" s="2" t="n"/>
    </row>
    <row r="37" ht="21" customHeight="1">
      <c r="A37" s="75" t="n"/>
      <c r="B37" s="75" t="n"/>
      <c r="C37" s="75" t="n"/>
      <c r="D37" s="2" t="n"/>
    </row>
    <row r="38" ht="21" customHeight="1">
      <c r="A38" s="75" t="n"/>
      <c r="B38" s="75" t="n"/>
      <c r="C38" s="75" t="n"/>
      <c r="D38" s="2" t="n"/>
    </row>
    <row r="39" ht="21" customHeight="1">
      <c r="A39" s="75" t="n"/>
      <c r="B39" s="75" t="n"/>
      <c r="C39" s="75" t="n"/>
      <c r="D39" s="2" t="n"/>
    </row>
    <row r="40" ht="21" customHeight="1">
      <c r="A40" s="75" t="n"/>
      <c r="B40" s="75" t="n"/>
      <c r="C40" s="75" t="n"/>
      <c r="D40" s="2" t="n"/>
    </row>
    <row r="41" ht="21" customHeight="1">
      <c r="A41" s="75" t="n"/>
      <c r="B41" s="75" t="n"/>
      <c r="C41" s="75" t="n"/>
      <c r="D41" s="2" t="n"/>
    </row>
    <row r="42" ht="21" customHeight="1">
      <c r="A42" s="75" t="n"/>
      <c r="B42" s="75" t="n"/>
      <c r="C42" s="75" t="n"/>
      <c r="D42" s="2" t="n"/>
    </row>
    <row r="43" ht="21" customHeight="1">
      <c r="A43" s="75" t="n"/>
      <c r="B43" s="75" t="n"/>
      <c r="C43" s="75" t="n"/>
      <c r="D43" s="2" t="n"/>
    </row>
    <row r="44" ht="21" customHeight="1">
      <c r="A44" s="75" t="n"/>
      <c r="B44" s="75" t="n"/>
      <c r="C44" s="75" t="n"/>
      <c r="D44" s="2" t="n"/>
    </row>
    <row r="45" ht="21" customHeight="1">
      <c r="A45" s="75" t="n"/>
      <c r="B45" s="75" t="n"/>
      <c r="C45" s="75" t="n"/>
      <c r="D45" s="2" t="n"/>
    </row>
    <row r="46" ht="21" customHeight="1">
      <c r="A46" s="75" t="n"/>
      <c r="B46" s="75" t="n"/>
      <c r="C46" s="75" t="n"/>
      <c r="D46" s="2" t="n"/>
    </row>
    <row r="47" ht="21" customHeight="1">
      <c r="A47" s="75" t="n"/>
      <c r="B47" s="75" t="n"/>
      <c r="C47" s="75" t="n"/>
      <c r="D47" s="2" t="n"/>
    </row>
    <row r="48" ht="21" customHeight="1">
      <c r="A48" s="75" t="n"/>
      <c r="B48" s="75" t="n"/>
      <c r="C48" s="75" t="n"/>
      <c r="D48" s="2" t="n"/>
    </row>
    <row r="49" ht="21" customHeight="1">
      <c r="A49" s="70" t="n"/>
      <c r="B49" s="70" t="n"/>
      <c r="C49" s="70" t="n"/>
      <c r="D49" s="2" t="n"/>
    </row>
    <row r="50" ht="21" customHeight="1">
      <c r="A50" s="70" t="n"/>
      <c r="B50" s="70" t="n"/>
      <c r="C50" s="70" t="n"/>
      <c r="D50" s="2" t="n"/>
    </row>
    <row r="51" ht="21" customHeight="1">
      <c r="A51" s="70" t="n"/>
      <c r="B51" s="70" t="n"/>
      <c r="C51" s="70" t="n"/>
      <c r="D51" s="2" t="n"/>
    </row>
    <row r="52" ht="21" customHeight="1">
      <c r="A52" s="70" t="n"/>
      <c r="B52" s="70" t="n"/>
      <c r="C52" s="70" t="n"/>
    </row>
    <row r="53" ht="21" customHeight="1">
      <c r="A53" s="70" t="n"/>
      <c r="B53" s="70" t="n"/>
      <c r="C53" s="70" t="n"/>
    </row>
    <row r="54" ht="13.5" customHeight="1"/>
  </sheetData>
  <pageMargins left="0.7480314960629921" right="0.7480314960629921" top="0.4724409448818898" bottom="0.3937007874015748" header="0.5118110236220472" footer="0.5118110236220472"/>
  <pageSetup orientation="portrait" scale="66" horizontalDpi="4294967293" verticalDpi="7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45"/>
  <sheetViews>
    <sheetView topLeftCell="A15" workbookViewId="0">
      <selection activeCell="F29" sqref="F29"/>
    </sheetView>
  </sheetViews>
  <sheetFormatPr baseColWidth="10" defaultRowHeight="13.5"/>
  <cols>
    <col width="8" customWidth="1" style="3" min="1" max="1"/>
    <col width="12.42578125" customWidth="1" style="3" min="2" max="2"/>
    <col width="8.140625" customWidth="1" style="3" min="3" max="3"/>
    <col width="8.5703125" customWidth="1" style="3" min="4" max="4"/>
    <col width="10.5703125" customWidth="1" style="4" min="5" max="5"/>
    <col width="9.85546875" customWidth="1" style="4" min="6" max="6"/>
    <col width="11.140625" customWidth="1" style="3" min="7" max="7"/>
    <col width="10" customWidth="1" style="3" min="8" max="8"/>
    <col width="10.140625" customWidth="1" style="3" min="9" max="9"/>
    <col width="11.7109375" bestFit="1" customWidth="1" style="3" min="10" max="11"/>
    <col width="8.5703125" customWidth="1" style="3" min="12" max="12"/>
    <col width="10.42578125" customWidth="1" style="3" min="13" max="13"/>
    <col width="10.140625" bestFit="1" customWidth="1" style="3" min="14" max="14"/>
    <col width="10.28515625" customWidth="1" style="3" min="15" max="15"/>
    <col width="10.140625" bestFit="1" customWidth="1" style="3" min="16" max="17"/>
    <col width="14.28515625" customWidth="1" style="3" min="18" max="18"/>
    <col width="10.42578125" customWidth="1" style="3" min="19" max="19"/>
    <col width="10.28515625" customWidth="1" style="3" min="20" max="20"/>
    <col width="11.42578125" customWidth="1" style="3" min="21" max="16384"/>
  </cols>
  <sheetData>
    <row r="1">
      <c r="A1" s="3" t="inlineStr">
        <is>
          <t>ZAIDA DIDONATO</t>
        </is>
      </c>
    </row>
    <row r="2">
      <c r="A2" s="3" t="inlineStr">
        <is>
          <t>REPORTES DE HORAS RELOJ MAYO 2026</t>
        </is>
      </c>
      <c r="R2" s="72" t="n"/>
      <c r="S2" s="78" t="inlineStr">
        <is>
          <t>HORARIO</t>
        </is>
      </c>
      <c r="T2" s="73" t="inlineStr">
        <is>
          <t>SALIDA</t>
        </is>
      </c>
      <c r="U2" s="72" t="n"/>
    </row>
    <row r="3">
      <c r="A3" s="3" t="inlineStr">
        <is>
          <t>CEVALLOS HECTOR</t>
        </is>
      </c>
      <c r="R3" s="72" t="n"/>
      <c r="T3" s="74" t="n"/>
      <c r="U3" s="72" t="n"/>
    </row>
    <row r="4">
      <c r="A4" s="6" t="n"/>
    </row>
    <row r="5" ht="15.75" customHeight="1" thickBot="1">
      <c r="A5" s="6" t="n"/>
    </row>
    <row r="6" ht="12.75" customHeight="1">
      <c r="A6" s="79" t="inlineStr">
        <is>
          <t>Emp No.</t>
        </is>
      </c>
      <c r="B6" s="79" t="inlineStr">
        <is>
          <t>Fecha</t>
        </is>
      </c>
      <c r="C6" s="79" t="inlineStr">
        <is>
          <t>Entrada</t>
        </is>
      </c>
      <c r="D6" s="79" t="inlineStr">
        <is>
          <t>Salida</t>
        </is>
      </c>
      <c r="E6" s="80" t="inlineStr">
        <is>
          <t>Marco Entrada</t>
        </is>
      </c>
      <c r="F6" s="81" t="inlineStr">
        <is>
          <t>Marco        Salida</t>
        </is>
      </c>
      <c r="G6" s="82" t="inlineStr">
        <is>
          <t>CONTROL ASISTENCIA</t>
        </is>
      </c>
      <c r="H6" s="87" t="n"/>
      <c r="I6" s="87" t="n"/>
      <c r="J6" s="87" t="n"/>
      <c r="K6" s="87" t="n"/>
      <c r="L6" s="88" t="n"/>
      <c r="M6" s="85" t="inlineStr">
        <is>
          <t>Horas nocturnas, suplementarias y extraordinarias</t>
        </is>
      </c>
      <c r="N6" s="89" t="n"/>
      <c r="O6" s="89" t="n"/>
      <c r="P6" s="89" t="n"/>
      <c r="Q6" s="89" t="n"/>
      <c r="R6" s="89" t="n"/>
      <c r="S6" s="89" t="n"/>
      <c r="T6" s="90" t="n"/>
    </row>
    <row r="7" ht="53.25" customHeight="1">
      <c r="A7" s="91" t="n"/>
      <c r="B7" s="91" t="n"/>
      <c r="C7" s="91" t="n"/>
      <c r="D7" s="91" t="n"/>
      <c r="E7" s="91" t="n"/>
      <c r="F7" s="92" t="n"/>
      <c r="G7" s="7" t="inlineStr">
        <is>
          <t>Entrada</t>
        </is>
      </c>
      <c r="H7" s="8" t="inlineStr">
        <is>
          <t>Salida</t>
        </is>
      </c>
      <c r="I7" s="8" t="inlineStr">
        <is>
          <t>TOTAL</t>
        </is>
      </c>
      <c r="J7" s="8" t="inlineStr">
        <is>
          <t>Atraso</t>
        </is>
      </c>
      <c r="K7" s="9" t="inlineStr">
        <is>
          <t>Salida Temprano</t>
        </is>
      </c>
      <c r="L7" s="10" t="inlineStr">
        <is>
          <t>TOTAL</t>
        </is>
      </c>
      <c r="M7" s="11" t="inlineStr">
        <is>
          <t>Horario nocturno  base       noche</t>
        </is>
      </c>
      <c r="N7" s="12" t="inlineStr">
        <is>
          <t>Horas normales</t>
        </is>
      </c>
      <c r="O7" s="12" t="inlineStr">
        <is>
          <t xml:space="preserve">Horas Nocturnas </t>
        </is>
      </c>
      <c r="P7" s="12" t="inlineStr">
        <is>
          <t>Horas Suplement Base</t>
        </is>
      </c>
      <c r="Q7" s="12" t="inlineStr">
        <is>
          <t>Horario normal</t>
        </is>
      </c>
      <c r="R7" s="12" t="inlineStr">
        <is>
          <t xml:space="preserve">Horas Suplementarias </t>
        </is>
      </c>
      <c r="S7" s="12" t="inlineStr">
        <is>
          <t>Horas extraordinarias base</t>
        </is>
      </c>
      <c r="T7" s="12" t="inlineStr">
        <is>
          <t xml:space="preserve">Horas Extraordinarias </t>
        </is>
      </c>
    </row>
    <row r="8" ht="15" customHeight="1">
      <c r="A8" s="13" t="inlineStr">
        <is>
          <t>3</t>
        </is>
      </c>
      <c r="B8" s="93" t="n">
        <v>46143</v>
      </c>
      <c r="C8" s="15" t="n">
        <v>0.4375</v>
      </c>
      <c r="D8" s="15" t="n">
        <v>0.8333333333333334</v>
      </c>
      <c r="E8" s="94" t="n">
        <v>0.4377430555555555</v>
      </c>
      <c r="F8" s="94" t="n">
        <v>0.7825347222222222</v>
      </c>
      <c r="G8" s="17">
        <f>IF(C8-E8&gt;0,+C8-E8,0)</f>
        <v/>
      </c>
      <c r="H8" s="18">
        <f>IF(F8-D8&gt;0,+F8-D8,0)</f>
        <v/>
      </c>
      <c r="I8" s="18">
        <f>SUM(G8:H8)</f>
        <v/>
      </c>
      <c r="J8" s="18">
        <f>IF(C8-E8&lt;0,+(+C8-E8)*-1,0)</f>
        <v/>
      </c>
      <c r="K8" s="18">
        <f>IF(F8-D8&lt;0,+(+F8-D8)*-1,0)</f>
        <v/>
      </c>
      <c r="L8" s="19">
        <f>+J8+K8</f>
        <v/>
      </c>
      <c r="M8" s="20" t="n">
        <v>0.7916666666666666</v>
      </c>
      <c r="N8" s="5" t="n">
        <v>0.3333333333333333</v>
      </c>
      <c r="O8" s="5">
        <f>IF((+E8+N8-M8)&gt;0,(+E8+N8-M8),0)</f>
        <v/>
      </c>
      <c r="P8" s="21">
        <f>+F8-E8</f>
        <v/>
      </c>
      <c r="Q8" s="21" t="n">
        <v>0.3333333333333333</v>
      </c>
      <c r="R8" s="21">
        <f>+P8-Q8</f>
        <v/>
      </c>
      <c r="S8" s="21" t="n"/>
      <c r="T8" s="21" t="n"/>
      <c r="U8" s="22" t="n"/>
    </row>
    <row r="9" ht="15" customHeight="1">
      <c r="A9" s="13" t="inlineStr">
        <is>
          <t>3</t>
        </is>
      </c>
      <c r="B9" s="93" t="n">
        <v>46144</v>
      </c>
      <c r="C9" s="15" t="n">
        <v>0.4375</v>
      </c>
      <c r="D9" s="15" t="n">
        <v>0.8333333333333334</v>
      </c>
      <c r="E9" s="94" t="n">
        <v>0.4176967592592593</v>
      </c>
      <c r="F9" s="94" t="n">
        <v>0.7474074074074074</v>
      </c>
      <c r="G9" s="17">
        <f>IF(C9-E9&gt;0,+C9-E9,0)</f>
        <v/>
      </c>
      <c r="H9" s="18">
        <f>IF(F9-D9&gt;0,+F9-D9,0)</f>
        <v/>
      </c>
      <c r="I9" s="18">
        <f>SUM(G9:H9)</f>
        <v/>
      </c>
      <c r="J9" s="18">
        <f>IF(C9-E9&lt;0,+(+C9-E9)*-1,0)</f>
        <v/>
      </c>
      <c r="K9" s="18">
        <f>IF(F9-D9&lt;0,+(+F9-D9)*-1,0)</f>
        <v/>
      </c>
      <c r="L9" s="19">
        <f>+J9+K9</f>
        <v/>
      </c>
      <c r="M9" s="20" t="n">
        <v>0.7916666666666666</v>
      </c>
      <c r="N9" s="5" t="n">
        <v>0.3333333333333333</v>
      </c>
      <c r="O9" s="5">
        <f>IF((+E9+N9-M9)&gt;0,(+E9+N9-M9),0)</f>
        <v/>
      </c>
      <c r="P9" s="21">
        <f>+F9-E9</f>
        <v/>
      </c>
      <c r="Q9" s="21" t="n">
        <v>0.3333333333333333</v>
      </c>
      <c r="R9" s="21">
        <f>+P9-Q9</f>
        <v/>
      </c>
      <c r="S9" s="21" t="n"/>
      <c r="T9" s="21" t="n"/>
      <c r="U9" s="22" t="n"/>
    </row>
    <row r="10" ht="15" customHeight="1">
      <c r="A10" s="13" t="inlineStr">
        <is>
          <t>3</t>
        </is>
      </c>
      <c r="B10" s="93" t="n">
        <v>46146</v>
      </c>
      <c r="C10" s="15" t="n">
        <v>0.4375</v>
      </c>
      <c r="D10" s="15" t="n">
        <v>0.8333333333333334</v>
      </c>
      <c r="E10" s="94" t="n">
        <v>0.4379050925925926</v>
      </c>
      <c r="F10" s="94" t="n">
        <v>0.7910416666666666</v>
      </c>
      <c r="G10" s="17">
        <f>IF(C10-E10&gt;0,+C10-E10,0)</f>
        <v/>
      </c>
      <c r="H10" s="18">
        <f>IF(F10-D10&gt;0,+F10-D10,0)</f>
        <v/>
      </c>
      <c r="I10" s="18">
        <f>SUM(G10:H10)</f>
        <v/>
      </c>
      <c r="J10" s="18">
        <f>IF(C10-E10&lt;0,+(+C10-E10)*-1,0)</f>
        <v/>
      </c>
      <c r="K10" s="18">
        <f>IF(F10-D10&lt;0,+(+F10-D10)*-1,0)</f>
        <v/>
      </c>
      <c r="L10" s="19">
        <f>+J10+K10</f>
        <v/>
      </c>
      <c r="M10" s="20" t="n">
        <v>0.7916666666666666</v>
      </c>
      <c r="N10" s="5" t="n">
        <v>0.3333333333333333</v>
      </c>
      <c r="O10" s="5">
        <f>IF((+E10+N10-M10)&gt;0,(+E10+N10-M10),0)</f>
        <v/>
      </c>
      <c r="P10" s="21">
        <f>+F10-E10</f>
        <v/>
      </c>
      <c r="Q10" s="21" t="n">
        <v>0.3333333333333333</v>
      </c>
      <c r="R10" s="21">
        <f>+P10-Q10</f>
        <v/>
      </c>
      <c r="S10" s="21" t="n"/>
      <c r="T10" s="21" t="n"/>
      <c r="U10" s="22" t="n"/>
    </row>
    <row r="11" ht="15" customHeight="1">
      <c r="A11" s="13" t="inlineStr">
        <is>
          <t>3</t>
        </is>
      </c>
      <c r="B11" s="93" t="n">
        <v>46148</v>
      </c>
      <c r="C11" s="15" t="n">
        <v>0.4375</v>
      </c>
      <c r="D11" s="15" t="n">
        <v>0.8333333333333334</v>
      </c>
      <c r="E11" s="94" t="n">
        <v>0.4367361111111111</v>
      </c>
      <c r="F11" s="94" t="n">
        <v>0.7792824074074074</v>
      </c>
      <c r="G11" s="17">
        <f>IF(C11-E11&gt;0,+C11-E11,0)</f>
        <v/>
      </c>
      <c r="H11" s="18">
        <f>IF(F11-D11&gt;0,+F11-D11,0)</f>
        <v/>
      </c>
      <c r="I11" s="18">
        <f>SUM(G11:H11)</f>
        <v/>
      </c>
      <c r="J11" s="18">
        <f>IF(C11-E11&lt;0,+(+C11-E11)*-1,0)</f>
        <v/>
      </c>
      <c r="K11" s="18">
        <f>IF(F11-D11&lt;0,+(+F11-D11)*-1,0)</f>
        <v/>
      </c>
      <c r="L11" s="19">
        <f>+J11+K11</f>
        <v/>
      </c>
      <c r="M11" s="20" t="n">
        <v>0.7916666666666666</v>
      </c>
      <c r="N11" s="5" t="n">
        <v>0.3333333333333333</v>
      </c>
      <c r="O11" s="5">
        <f>IF((+E11+N11-M11)&gt;0,(+E11+N11-M11),0)</f>
        <v/>
      </c>
      <c r="P11" s="21">
        <f>+F11-E11</f>
        <v/>
      </c>
      <c r="Q11" s="21" t="n">
        <v>0.3333333333333333</v>
      </c>
      <c r="R11" s="21">
        <f>+P11-Q11</f>
        <v/>
      </c>
      <c r="S11" s="21" t="n"/>
      <c r="T11" s="21" t="n"/>
      <c r="U11" s="22" t="n"/>
    </row>
    <row r="12" ht="15" customHeight="1">
      <c r="A12" s="13" t="inlineStr">
        <is>
          <t>3</t>
        </is>
      </c>
      <c r="B12" s="93" t="n">
        <v>46149</v>
      </c>
      <c r="C12" s="15" t="n">
        <v>0.4375</v>
      </c>
      <c r="D12" s="15" t="n">
        <v>0.8333333333333334</v>
      </c>
      <c r="E12" s="94" t="n">
        <v>0.4383217592592593</v>
      </c>
      <c r="F12" s="94" t="n">
        <v>0.79</v>
      </c>
      <c r="G12" s="17">
        <f>IF(C12-E12&gt;0,+C12-E12,0)</f>
        <v/>
      </c>
      <c r="H12" s="18">
        <f>IF(F12-D12&gt;0,+F12-D12,0)</f>
        <v/>
      </c>
      <c r="I12" s="18">
        <f>SUM(G12:H12)</f>
        <v/>
      </c>
      <c r="J12" s="18">
        <f>IF(C12-E12&lt;0,+(+C12-E12)*-1,0)</f>
        <v/>
      </c>
      <c r="K12" s="18">
        <f>IF(F12-D12&lt;0,+(+F12-D12)*-1,0)</f>
        <v/>
      </c>
      <c r="L12" s="19">
        <f>+J12+K12</f>
        <v/>
      </c>
      <c r="M12" s="20" t="n">
        <v>0.7916666666666666</v>
      </c>
      <c r="N12" s="5" t="n">
        <v>0.3333333333333333</v>
      </c>
      <c r="O12" s="5">
        <f>IF((+E12+N12-M12)&gt;0,(+E12+N12-M12),0)</f>
        <v/>
      </c>
      <c r="P12" s="21">
        <f>+F12-E12</f>
        <v/>
      </c>
      <c r="Q12" s="21" t="n">
        <v>0.3333333333333333</v>
      </c>
      <c r="R12" s="21">
        <f>+P12-Q12</f>
        <v/>
      </c>
      <c r="S12" s="21" t="n"/>
      <c r="T12" s="21" t="n"/>
      <c r="U12" s="22" t="n"/>
    </row>
    <row r="13" ht="15" customHeight="1">
      <c r="A13" s="23" t="inlineStr">
        <is>
          <t>3</t>
        </is>
      </c>
      <c r="B13" s="95" t="n">
        <v>46150</v>
      </c>
      <c r="C13" s="25" t="n">
        <v>0.4375</v>
      </c>
      <c r="D13" s="25" t="n">
        <v>0.8333333333333334</v>
      </c>
      <c r="E13" s="96" t="n">
        <v>0.4378587962962963</v>
      </c>
      <c r="F13" s="96" t="n">
        <v>0.7915509259259259</v>
      </c>
      <c r="G13" s="27">
        <f>IF(C13-E13&gt;0,+C13-E13,0)</f>
        <v/>
      </c>
      <c r="H13" s="28">
        <f>IF(F13-D13&gt;0,+F13-D13,0)</f>
        <v/>
      </c>
      <c r="I13" s="28">
        <f>SUM(G13:H13)</f>
        <v/>
      </c>
      <c r="J13" s="28">
        <f>IF(C13-E13&lt;0,+(+C13-E13)*-1,0)</f>
        <v/>
      </c>
      <c r="K13" s="28">
        <f>IF(F13-D13&lt;0,+(+F13-D13)*-1,0)</f>
        <v/>
      </c>
      <c r="L13" s="29">
        <f>+J13+K13</f>
        <v/>
      </c>
      <c r="M13" s="30" t="n"/>
      <c r="N13" s="31" t="n"/>
      <c r="O13" s="31" t="n"/>
      <c r="P13" s="32">
        <f>+F13-E13</f>
        <v/>
      </c>
      <c r="Q13" s="32" t="n"/>
      <c r="R13" s="32" t="n"/>
      <c r="S13" s="32">
        <f>+F13-E13</f>
        <v/>
      </c>
      <c r="T13" s="32">
        <f>+S13</f>
        <v/>
      </c>
      <c r="U13" s="22" t="n"/>
    </row>
    <row r="14" ht="15" customHeight="1">
      <c r="A14" s="13" t="inlineStr">
        <is>
          <t>3</t>
        </is>
      </c>
      <c r="B14" s="93" t="n">
        <v>46151</v>
      </c>
      <c r="C14" s="15" t="n">
        <v>0.4375</v>
      </c>
      <c r="D14" s="15" t="n">
        <v>0.8333333333333334</v>
      </c>
      <c r="E14" s="94" t="n">
        <v>0.415474537037037</v>
      </c>
      <c r="F14" s="94" t="n">
        <v>0.8108101851851852</v>
      </c>
      <c r="G14" s="17">
        <f>IF(C14-E14&gt;0,+C14-E14,0)</f>
        <v/>
      </c>
      <c r="H14" s="18">
        <f>IF(F14-D14&gt;0,+F14-D14,0)</f>
        <v/>
      </c>
      <c r="I14" s="18">
        <f>SUM(G14:H14)</f>
        <v/>
      </c>
      <c r="J14" s="18">
        <f>IF(C14-E14&lt;0,+(+C14-E14)*-1,0)</f>
        <v/>
      </c>
      <c r="K14" s="18">
        <f>IF(F14-D14&lt;0,+(+F14-D14)*-1,0)</f>
        <v/>
      </c>
      <c r="L14" s="19">
        <f>+J14+K14</f>
        <v/>
      </c>
      <c r="M14" s="20" t="n">
        <v>0.7916666666666666</v>
      </c>
      <c r="N14" s="5" t="n">
        <v>0.3333333333333333</v>
      </c>
      <c r="O14" s="5">
        <f>IF((+E14+N14-M14)&gt;0,(+E14+N14-M14),0)</f>
        <v/>
      </c>
      <c r="P14" s="21">
        <f>+F14-E14</f>
        <v/>
      </c>
      <c r="Q14" s="21" t="n">
        <v>0.3333333333333333</v>
      </c>
      <c r="R14" s="21">
        <f>+P14-Q14</f>
        <v/>
      </c>
      <c r="S14" s="21" t="n"/>
      <c r="T14" s="21" t="n"/>
      <c r="U14" s="22" t="n"/>
    </row>
    <row r="15" ht="15" customHeight="1">
      <c r="A15" s="13" t="inlineStr">
        <is>
          <t>3</t>
        </is>
      </c>
      <c r="B15" s="93" t="n">
        <v>46153</v>
      </c>
      <c r="C15" s="15" t="n">
        <v>0.4375</v>
      </c>
      <c r="D15" s="15" t="n">
        <v>0.8333333333333334</v>
      </c>
      <c r="E15" s="94" t="n">
        <v>0.4376504629629629</v>
      </c>
      <c r="F15" s="94" t="n">
        <v>0.7890046296296296</v>
      </c>
      <c r="G15" s="17">
        <f>IF(C15-E15&gt;0,+C15-E15,0)</f>
        <v/>
      </c>
      <c r="H15" s="18">
        <f>IF(F15-D15&gt;0,+F15-D15,0)</f>
        <v/>
      </c>
      <c r="I15" s="18">
        <f>SUM(G15:H15)</f>
        <v/>
      </c>
      <c r="J15" s="18">
        <f>IF(C15-E15&lt;0,+(+C15-E15)*-1,0)</f>
        <v/>
      </c>
      <c r="K15" s="18">
        <f>IF(F15-D15&lt;0,+(+F15-D15)*-1,0)</f>
        <v/>
      </c>
      <c r="L15" s="19">
        <f>+J15+K15</f>
        <v/>
      </c>
      <c r="M15" s="20" t="n">
        <v>0.7916666666666666</v>
      </c>
      <c r="N15" s="5" t="n">
        <v>0.3333333333333333</v>
      </c>
      <c r="O15" s="5">
        <f>IF((+E15+N15-M15)&gt;0,(+E15+N15-M15),0)</f>
        <v/>
      </c>
      <c r="P15" s="21">
        <f>+F15-E15</f>
        <v/>
      </c>
      <c r="Q15" s="21" t="n">
        <v>0.3333333333333333</v>
      </c>
      <c r="R15" s="21">
        <f>+P15-Q15</f>
        <v/>
      </c>
      <c r="S15" s="21" t="n"/>
      <c r="T15" s="21" t="n"/>
      <c r="U15" s="22" t="n"/>
    </row>
    <row r="16" ht="15" customHeight="1">
      <c r="A16" s="13" t="inlineStr">
        <is>
          <t>3</t>
        </is>
      </c>
      <c r="B16" s="93" t="n">
        <v>46154</v>
      </c>
      <c r="C16" s="15" t="n">
        <v>0.4375</v>
      </c>
      <c r="D16" s="15" t="n">
        <v>0.8333333333333334</v>
      </c>
      <c r="E16" s="94" t="n">
        <v>0.4356712962962963</v>
      </c>
      <c r="F16" s="94" t="n">
        <v>0.7914351851851852</v>
      </c>
      <c r="G16" s="17">
        <f>IF(C16-E16&gt;0,+C16-E16,0)</f>
        <v/>
      </c>
      <c r="H16" s="18">
        <f>IF(F16-D16&gt;0,+F16-D16,0)</f>
        <v/>
      </c>
      <c r="I16" s="18">
        <f>SUM(G16:H16)</f>
        <v/>
      </c>
      <c r="J16" s="18">
        <f>IF(C16-E16&lt;0,+(+C16-E16)*-1,0)</f>
        <v/>
      </c>
      <c r="K16" s="18">
        <f>IF(F16-D16&lt;0,+(+F16-D16)*-1,0)</f>
        <v/>
      </c>
      <c r="L16" s="19">
        <f>+J16+K16</f>
        <v/>
      </c>
      <c r="M16" s="20" t="n">
        <v>0.7916666666666666</v>
      </c>
      <c r="N16" s="5" t="n">
        <v>0.3333333333333333</v>
      </c>
      <c r="O16" s="5">
        <f>IF((+E16+N16-M16)&gt;0,(+E16+N16-M16),0)</f>
        <v/>
      </c>
      <c r="P16" s="21">
        <f>+F16-E16</f>
        <v/>
      </c>
      <c r="Q16" s="21" t="n">
        <v>0.3333333333333333</v>
      </c>
      <c r="R16" s="21">
        <f>+P16-Q16</f>
        <v/>
      </c>
      <c r="S16" s="21" t="n"/>
      <c r="T16" s="21" t="n"/>
      <c r="U16" s="22" t="n"/>
    </row>
    <row r="17" ht="15" customHeight="1">
      <c r="A17" s="13" t="inlineStr">
        <is>
          <t>3</t>
        </is>
      </c>
      <c r="B17" s="93" t="n">
        <v>46155</v>
      </c>
      <c r="C17" s="15" t="n">
        <v>0.4375</v>
      </c>
      <c r="D17" s="15" t="n">
        <v>0.8333333333333334</v>
      </c>
      <c r="E17" s="94" t="n">
        <v>0.4397800925925926</v>
      </c>
      <c r="F17" s="94" t="n">
        <v>0.7939236111111111</v>
      </c>
      <c r="G17" s="17">
        <f>IF(C17-E17&gt;0,+C17-E17,0)</f>
        <v/>
      </c>
      <c r="H17" s="18">
        <f>IF(F17-D17&gt;0,+F17-D17,0)</f>
        <v/>
      </c>
      <c r="I17" s="18">
        <f>SUM(G17:H17)</f>
        <v/>
      </c>
      <c r="J17" s="18">
        <f>IF(C17-E17&lt;0,+(+C17-E17)*-1,0)</f>
        <v/>
      </c>
      <c r="K17" s="18">
        <f>IF(F17-D17&lt;0,+(+F17-D17)*-1,0)</f>
        <v/>
      </c>
      <c r="L17" s="19">
        <f>+J17+K17</f>
        <v/>
      </c>
      <c r="M17" s="20" t="n">
        <v>0.7916666666666666</v>
      </c>
      <c r="N17" s="5" t="n">
        <v>0.3333333333333333</v>
      </c>
      <c r="O17" s="5">
        <f>IF((+E17+N17-M17)&gt;0,(+E17+N17-M17),0)</f>
        <v/>
      </c>
      <c r="P17" s="21">
        <f>+F17-E17</f>
        <v/>
      </c>
      <c r="Q17" s="21" t="n">
        <v>0.3333333333333333</v>
      </c>
      <c r="R17" s="21">
        <f>+P17-Q17</f>
        <v/>
      </c>
      <c r="S17" s="21" t="n"/>
      <c r="T17" s="21" t="n"/>
      <c r="U17" s="22" t="n"/>
    </row>
    <row r="18" ht="15" customHeight="1">
      <c r="A18" s="13" t="inlineStr">
        <is>
          <t>3</t>
        </is>
      </c>
      <c r="B18" s="93" t="n">
        <v>46156</v>
      </c>
      <c r="C18" s="15" t="n">
        <v>0.4375</v>
      </c>
      <c r="D18" s="15" t="n">
        <v>0.8333333333333334</v>
      </c>
      <c r="E18" s="94" t="n">
        <v>0.4365625</v>
      </c>
      <c r="F18" s="94" t="n">
        <v>0.4365625</v>
      </c>
      <c r="G18" s="17">
        <f>IF(C18-E18&gt;0,+C18-E18,0)</f>
        <v/>
      </c>
      <c r="H18" s="18">
        <f>IF(F18-D18&gt;0,+F18-D18,0)</f>
        <v/>
      </c>
      <c r="I18" s="18">
        <f>SUM(G18:H18)</f>
        <v/>
      </c>
      <c r="J18" s="18">
        <f>IF(C18-E18&lt;0,+(+C18-E18)*-1,0)</f>
        <v/>
      </c>
      <c r="K18" s="18">
        <f>IF(F18-D18&lt;0,+(+F18-D18)*-1,0)</f>
        <v/>
      </c>
      <c r="L18" s="19">
        <f>+J18+K18</f>
        <v/>
      </c>
      <c r="M18" s="20" t="n">
        <v>0.7916666666666666</v>
      </c>
      <c r="N18" s="5" t="n">
        <v>0.3333333333333333</v>
      </c>
      <c r="O18" s="5">
        <f>IF((+E18+N18-M18)&gt;0,(+E18+N18-M18),0)</f>
        <v/>
      </c>
      <c r="P18" s="21">
        <f>+F18-E18</f>
        <v/>
      </c>
      <c r="Q18" s="21" t="n">
        <v>0.3333333333333333</v>
      </c>
      <c r="R18" s="21">
        <f>+P18-Q18</f>
        <v/>
      </c>
      <c r="S18" s="21" t="n"/>
      <c r="T18" s="21" t="n"/>
      <c r="U18" s="22" t="n"/>
    </row>
    <row r="19" ht="15" customHeight="1">
      <c r="A19" s="23" t="inlineStr">
        <is>
          <t>3</t>
        </is>
      </c>
      <c r="B19" s="95" t="n">
        <v>46157</v>
      </c>
      <c r="C19" s="25" t="n">
        <v>0.4375</v>
      </c>
      <c r="D19" s="25" t="n">
        <v>0.8333333333333334</v>
      </c>
      <c r="E19" s="96" t="n">
        <v>0.4400462962962963</v>
      </c>
      <c r="F19" s="96" t="n">
        <v>0.7977777777777778</v>
      </c>
      <c r="G19" s="27">
        <f>IF(C19-E19&gt;0,+C19-E19,0)</f>
        <v/>
      </c>
      <c r="H19" s="28">
        <f>IF(F19-D19&gt;0,+F19-D19,0)</f>
        <v/>
      </c>
      <c r="I19" s="28">
        <f>SUM(G19:H19)</f>
        <v/>
      </c>
      <c r="J19" s="28">
        <f>IF(C19-E19&lt;0,+(+C19-E19)*-1,0)</f>
        <v/>
      </c>
      <c r="K19" s="28">
        <f>IF(F19-D19&lt;0,+(+F19-D19)*-1,0)</f>
        <v/>
      </c>
      <c r="L19" s="29">
        <f>+J19+K19</f>
        <v/>
      </c>
      <c r="M19" s="30" t="n"/>
      <c r="N19" s="31" t="n"/>
      <c r="O19" s="31" t="n"/>
      <c r="P19" s="32">
        <f>+F19-E19</f>
        <v/>
      </c>
      <c r="Q19" s="32" t="n"/>
      <c r="R19" s="32" t="n"/>
      <c r="S19" s="32">
        <f>+F19-E19</f>
        <v/>
      </c>
      <c r="T19" s="32">
        <f>+S19</f>
        <v/>
      </c>
      <c r="U19" s="22" t="n"/>
    </row>
    <row r="20" ht="15" customHeight="1">
      <c r="A20" s="13" t="inlineStr">
        <is>
          <t>3</t>
        </is>
      </c>
      <c r="B20" s="93" t="n">
        <v>46158</v>
      </c>
      <c r="C20" s="15" t="n">
        <v>0.4375</v>
      </c>
      <c r="D20" s="15" t="n">
        <v>0.8333333333333334</v>
      </c>
      <c r="E20" s="94" t="n">
        <v>0.4200115740740741</v>
      </c>
      <c r="F20" s="94" t="n">
        <v>0.7737615740740741</v>
      </c>
      <c r="G20" s="17">
        <f>IF(C20-E20&gt;0,+C20-E20,0)</f>
        <v/>
      </c>
      <c r="H20" s="18">
        <f>IF(F20-D20&gt;0,+F20-D20,0)</f>
        <v/>
      </c>
      <c r="I20" s="18">
        <f>SUM(G20:H20)</f>
        <v/>
      </c>
      <c r="J20" s="18">
        <f>IF(C20-E20&lt;0,+(+C20-E20)*-1,0)</f>
        <v/>
      </c>
      <c r="K20" s="18">
        <f>IF(F20-D20&lt;0,+(+F20-D20)*-1,0)</f>
        <v/>
      </c>
      <c r="L20" s="19">
        <f>+J20+K20</f>
        <v/>
      </c>
      <c r="M20" s="20" t="n">
        <v>0.7916666666666666</v>
      </c>
      <c r="N20" s="5" t="n">
        <v>0.3333333333333333</v>
      </c>
      <c r="O20" s="5">
        <f>IF((+E20+N20-M20)&gt;0,(+E20+N20-M20),0)</f>
        <v/>
      </c>
      <c r="P20" s="21">
        <f>+F20-E20</f>
        <v/>
      </c>
      <c r="Q20" s="21" t="n">
        <v>0.3333333333333333</v>
      </c>
      <c r="R20" s="21">
        <f>+P20-Q20</f>
        <v/>
      </c>
      <c r="S20" s="21" t="n"/>
      <c r="T20" s="21" t="n"/>
      <c r="U20" s="22" t="n"/>
    </row>
    <row r="21" ht="15" customHeight="1">
      <c r="A21" s="13" t="inlineStr">
        <is>
          <t>3</t>
        </is>
      </c>
      <c r="B21" s="93" t="n">
        <v>46160</v>
      </c>
      <c r="C21" s="15" t="n">
        <v>0.4375</v>
      </c>
      <c r="D21" s="15" t="n">
        <v>0.8333333333333334</v>
      </c>
      <c r="E21" s="94" t="n">
        <v>0.4387037037037037</v>
      </c>
      <c r="F21" s="94" t="n">
        <v>0.8078935185185185</v>
      </c>
      <c r="G21" s="17">
        <f>IF(C21-E21&gt;0,+C21-E21,0)</f>
        <v/>
      </c>
      <c r="H21" s="18">
        <f>IF(F21-D21&gt;0,+F21-D21,0)</f>
        <v/>
      </c>
      <c r="I21" s="18">
        <f>SUM(G21:H21)</f>
        <v/>
      </c>
      <c r="J21" s="18">
        <f>IF(C21-E21&lt;0,+(+C21-E21)*-1,0)</f>
        <v/>
      </c>
      <c r="K21" s="18">
        <f>IF(F21-D21&lt;0,+(+F21-D21)*-1,0)</f>
        <v/>
      </c>
      <c r="L21" s="19">
        <f>+J21+K21</f>
        <v/>
      </c>
      <c r="M21" s="20" t="n">
        <v>0.7916666666666666</v>
      </c>
      <c r="N21" s="5" t="n">
        <v>0.3333333333333333</v>
      </c>
      <c r="O21" s="5">
        <f>IF((+E21+N21-M21)&gt;0,(+E21+N21-M21),0)</f>
        <v/>
      </c>
      <c r="P21" s="21">
        <f>+F21-E21</f>
        <v/>
      </c>
      <c r="Q21" s="21" t="n">
        <v>0.3333333333333333</v>
      </c>
      <c r="R21" s="21">
        <f>+P21-Q21</f>
        <v/>
      </c>
      <c r="S21" s="21" t="n"/>
      <c r="T21" s="21" t="n"/>
      <c r="U21" s="22" t="n"/>
    </row>
    <row r="22" ht="15" customHeight="1">
      <c r="A22" s="13" t="inlineStr">
        <is>
          <t>3</t>
        </is>
      </c>
      <c r="B22" s="93" t="n">
        <v>46161</v>
      </c>
      <c r="C22" s="15" t="n">
        <v>0.4375</v>
      </c>
      <c r="D22" s="15" t="n">
        <v>0.8333333333333334</v>
      </c>
      <c r="E22" s="94" t="n">
        <v>0.4380787037037037</v>
      </c>
      <c r="F22" s="94" t="n">
        <v>0.7902083333333333</v>
      </c>
      <c r="G22" s="17">
        <f>IF(C22-E22&gt;0,+C22-E22,0)</f>
        <v/>
      </c>
      <c r="H22" s="18">
        <f>IF(F22-D22&gt;0,+F22-D22,0)</f>
        <v/>
      </c>
      <c r="I22" s="18">
        <f>SUM(G22:H22)</f>
        <v/>
      </c>
      <c r="J22" s="18">
        <f>IF(C22-E22&lt;0,+(+C22-E22)*-1,0)</f>
        <v/>
      </c>
      <c r="K22" s="18">
        <f>IF(F22-D22&lt;0,+(+F22-D22)*-1,0)</f>
        <v/>
      </c>
      <c r="L22" s="19">
        <f>+J22+K22</f>
        <v/>
      </c>
      <c r="M22" s="20" t="n">
        <v>0.7916666666666666</v>
      </c>
      <c r="N22" s="5" t="n">
        <v>0.3333333333333333</v>
      </c>
      <c r="O22" s="5">
        <f>IF((+E22+N22-M22)&gt;0,(+E22+N22-M22),0)</f>
        <v/>
      </c>
      <c r="P22" s="21">
        <f>+F22-E22</f>
        <v/>
      </c>
      <c r="Q22" s="21" t="n">
        <v>0.3333333333333333</v>
      </c>
      <c r="R22" s="21">
        <f>+P22-Q22</f>
        <v/>
      </c>
      <c r="S22" s="21" t="n"/>
      <c r="T22" s="21" t="n"/>
      <c r="U22" s="22" t="n"/>
    </row>
    <row r="23" ht="15" customHeight="1">
      <c r="A23" s="13" t="inlineStr">
        <is>
          <t>3</t>
        </is>
      </c>
      <c r="B23" s="93" t="n">
        <v>46162</v>
      </c>
      <c r="C23" s="15" t="n">
        <v>0.4375</v>
      </c>
      <c r="D23" s="15" t="n">
        <v>0.8333333333333334</v>
      </c>
      <c r="E23" s="94" t="n">
        <v>0.4368981481481481</v>
      </c>
      <c r="F23" s="94" t="n">
        <v>0.7796990740740741</v>
      </c>
      <c r="G23" s="17">
        <f>IF(C23-E23&gt;0,+C23-E23,0)</f>
        <v/>
      </c>
      <c r="H23" s="18">
        <f>IF(F23-D23&gt;0,+F23-D23,0)</f>
        <v/>
      </c>
      <c r="I23" s="18">
        <f>SUM(G23:H23)</f>
        <v/>
      </c>
      <c r="J23" s="18">
        <f>IF(C23-E23&lt;0,+(+C23-E23)*-1,0)</f>
        <v/>
      </c>
      <c r="K23" s="18">
        <f>IF(F23-D23&lt;0,+(+F23-D23)*-1,0)</f>
        <v/>
      </c>
      <c r="L23" s="19">
        <f>+J23+K23</f>
        <v/>
      </c>
      <c r="M23" s="20" t="n">
        <v>0.7916666666666666</v>
      </c>
      <c r="N23" s="5" t="n">
        <v>0.3333333333333333</v>
      </c>
      <c r="O23" s="5">
        <f>IF((+E23+N23-M23)&gt;0,(+E23+N23-M23),0)</f>
        <v/>
      </c>
      <c r="P23" s="21">
        <f>+F23-E23</f>
        <v/>
      </c>
      <c r="Q23" s="21" t="n">
        <v>0.3333333333333333</v>
      </c>
      <c r="R23" s="21">
        <f>+P23-Q23</f>
        <v/>
      </c>
      <c r="S23" s="21" t="n"/>
      <c r="T23" s="21" t="n"/>
      <c r="U23" s="22" t="n"/>
    </row>
    <row r="24" ht="15" customHeight="1">
      <c r="A24" s="13" t="inlineStr">
        <is>
          <t>3</t>
        </is>
      </c>
      <c r="B24" s="93" t="n">
        <v>46163</v>
      </c>
      <c r="C24" s="15" t="n">
        <v>0.4375</v>
      </c>
      <c r="D24" s="15" t="n">
        <v>0.8333333333333334</v>
      </c>
      <c r="E24" s="94" t="n">
        <v>0.4371296296296296</v>
      </c>
      <c r="F24" s="94" t="n">
        <v>0.4371296296296296</v>
      </c>
      <c r="G24" s="17">
        <f>IF(C24-E24&gt;0,+C24-E24,0)</f>
        <v/>
      </c>
      <c r="H24" s="18">
        <f>IF(F24-D24&gt;0,+F24-D24,0)</f>
        <v/>
      </c>
      <c r="I24" s="18">
        <f>SUM(G24:H24)</f>
        <v/>
      </c>
      <c r="J24" s="18">
        <f>IF(C24-E24&lt;0,+(+C24-E24)*-1,0)</f>
        <v/>
      </c>
      <c r="K24" s="18">
        <f>IF(F24-D24&lt;0,+(+F24-D24)*-1,0)</f>
        <v/>
      </c>
      <c r="L24" s="19">
        <f>+J24+K24</f>
        <v/>
      </c>
      <c r="M24" s="20" t="n">
        <v>0.7916666666666666</v>
      </c>
      <c r="N24" s="5" t="n">
        <v>0.3333333333333333</v>
      </c>
      <c r="O24" s="5">
        <f>IF((+E24+N24-M24)&gt;0,(+E24+N24-M24),0)</f>
        <v/>
      </c>
      <c r="P24" s="21">
        <f>+F24-E24</f>
        <v/>
      </c>
      <c r="Q24" s="21" t="n">
        <v>0.3333333333333333</v>
      </c>
      <c r="R24" s="21">
        <f>+P24-Q24</f>
        <v/>
      </c>
      <c r="S24" s="21" t="n"/>
      <c r="T24" s="21" t="n"/>
      <c r="U24" s="22" t="n"/>
    </row>
    <row r="25" ht="15" customHeight="1">
      <c r="A25" s="23" t="inlineStr">
        <is>
          <t>3</t>
        </is>
      </c>
      <c r="B25" s="95" t="n">
        <v>46164</v>
      </c>
      <c r="C25" s="25" t="n">
        <v>0.4375</v>
      </c>
      <c r="D25" s="25" t="n">
        <v>0.8333333333333334</v>
      </c>
      <c r="E25" s="96" t="n">
        <v>0.4380092592592593</v>
      </c>
      <c r="F25" s="96" t="n">
        <v>0.7877662037037036</v>
      </c>
      <c r="G25" s="27">
        <f>IF(C25-E25&gt;0,+C25-E25,0)</f>
        <v/>
      </c>
      <c r="H25" s="28">
        <f>IF(F25-D25&gt;0,+F25-D25,0)</f>
        <v/>
      </c>
      <c r="I25" s="28">
        <f>SUM(G25:H25)</f>
        <v/>
      </c>
      <c r="J25" s="28">
        <f>IF(C25-E25&lt;0,+(+C25-E25)*-1,0)</f>
        <v/>
      </c>
      <c r="K25" s="28">
        <f>IF(F25-D25&lt;0,+(+F25-D25)*-1,0)</f>
        <v/>
      </c>
      <c r="L25" s="29">
        <f>+J25+K25</f>
        <v/>
      </c>
      <c r="M25" s="30" t="n"/>
      <c r="N25" s="31" t="n"/>
      <c r="O25" s="31" t="n"/>
      <c r="P25" s="32">
        <f>+F25-E25</f>
        <v/>
      </c>
      <c r="Q25" s="32" t="n"/>
      <c r="R25" s="32" t="n"/>
      <c r="S25" s="32">
        <f>+F25-E25</f>
        <v/>
      </c>
      <c r="T25" s="32">
        <f>+S25</f>
        <v/>
      </c>
      <c r="U25" s="22" t="n"/>
    </row>
    <row r="26" ht="15" customHeight="1">
      <c r="A26" s="13" t="inlineStr">
        <is>
          <t>3</t>
        </is>
      </c>
      <c r="B26" s="93" t="n">
        <v>46165</v>
      </c>
      <c r="C26" s="15" t="n">
        <v>0.4375</v>
      </c>
      <c r="D26" s="15" t="n">
        <v>0.8333333333333334</v>
      </c>
      <c r="E26" s="94" t="n">
        <v>0.4148726851851852</v>
      </c>
      <c r="F26" s="94" t="n">
        <v>0.7461689814814815</v>
      </c>
      <c r="G26" s="17">
        <f>IF(C26-E26&gt;0,+C26-E26,0)</f>
        <v/>
      </c>
      <c r="H26" s="18">
        <f>IF(F26-D26&gt;0,+F26-D26,0)</f>
        <v/>
      </c>
      <c r="I26" s="18">
        <f>SUM(G26:H26)</f>
        <v/>
      </c>
      <c r="J26" s="18">
        <f>IF(C26-E26&lt;0,+(+C26-E26)*-1,0)</f>
        <v/>
      </c>
      <c r="K26" s="18">
        <f>IF(F26-D26&lt;0,+(+F26-D26)*-1,0)</f>
        <v/>
      </c>
      <c r="L26" s="19">
        <f>+J26+K26</f>
        <v/>
      </c>
      <c r="M26" s="20" t="n">
        <v>0.7916666666666666</v>
      </c>
      <c r="N26" s="5" t="n">
        <v>0.3333333333333333</v>
      </c>
      <c r="O26" s="5">
        <f>IF((+E26+N26-M26)&gt;0,(+E26+N26-M26),0)</f>
        <v/>
      </c>
      <c r="P26" s="21">
        <f>+F26-E26</f>
        <v/>
      </c>
      <c r="Q26" s="21" t="n">
        <v>0.3333333333333333</v>
      </c>
      <c r="R26" s="21">
        <f>+P26-Q26</f>
        <v/>
      </c>
      <c r="S26" s="21" t="n"/>
      <c r="T26" s="21" t="n"/>
      <c r="U26" s="22" t="n"/>
    </row>
    <row r="27" ht="15" customHeight="1">
      <c r="A27" s="13" t="inlineStr">
        <is>
          <t>3</t>
        </is>
      </c>
      <c r="B27" s="93" t="n">
        <v>46167</v>
      </c>
      <c r="C27" s="15" t="n">
        <v>0.4375</v>
      </c>
      <c r="D27" s="15" t="n">
        <v>0.8333333333333334</v>
      </c>
      <c r="E27" s="94" t="n">
        <v>0.4362384259259259</v>
      </c>
      <c r="F27" s="94" t="n">
        <v>0.7602777777777778</v>
      </c>
      <c r="G27" s="17">
        <f>IF(C27-E27&gt;0,+C27-E27,0)</f>
        <v/>
      </c>
      <c r="H27" s="18">
        <f>IF(F27-D27&gt;0,+F27-D27,0)</f>
        <v/>
      </c>
      <c r="I27" s="18">
        <f>SUM(G27:H27)</f>
        <v/>
      </c>
      <c r="J27" s="18">
        <f>IF(C27-E27&lt;0,+(+C27-E27)*-1,0)</f>
        <v/>
      </c>
      <c r="K27" s="18">
        <f>IF(F27-D27&lt;0,+(+F27-D27)*-1,0)</f>
        <v/>
      </c>
      <c r="L27" s="19">
        <f>+J27+K27</f>
        <v/>
      </c>
      <c r="M27" s="20" t="n">
        <v>0.7916666666666666</v>
      </c>
      <c r="N27" s="5" t="n">
        <v>0.3333333333333333</v>
      </c>
      <c r="O27" s="5">
        <f>IF((+E27+N27-M27)&gt;0,(+E27+N27-M27),0)</f>
        <v/>
      </c>
      <c r="P27" s="21">
        <f>+F27-E27</f>
        <v/>
      </c>
      <c r="Q27" s="21" t="n">
        <v>0.3333333333333333</v>
      </c>
      <c r="R27" s="21">
        <f>+P27-Q27</f>
        <v/>
      </c>
      <c r="S27" s="21" t="n"/>
      <c r="T27" s="21" t="n"/>
      <c r="U27" s="22" t="n"/>
    </row>
    <row r="28" ht="15" customHeight="1">
      <c r="A28" s="13" t="inlineStr">
        <is>
          <t>3</t>
        </is>
      </c>
      <c r="B28" s="93" t="n">
        <v>46168</v>
      </c>
      <c r="C28" s="15" t="n">
        <v>0.4375</v>
      </c>
      <c r="D28" s="15" t="n">
        <v>0.8333333333333334</v>
      </c>
      <c r="E28" s="94" t="n">
        <v>0.4372685185185185</v>
      </c>
      <c r="F28" s="94" t="n">
        <v>0.7859606481481481</v>
      </c>
      <c r="G28" s="17">
        <f>IF(C28-E28&gt;0,+C28-E28,0)</f>
        <v/>
      </c>
      <c r="H28" s="18">
        <f>IF(F28-D28&gt;0,+F28-D28,0)</f>
        <v/>
      </c>
      <c r="I28" s="18">
        <f>SUM(G28:H28)</f>
        <v/>
      </c>
      <c r="J28" s="18">
        <f>IF(C28-E28&lt;0,+(+C28-E28)*-1,0)</f>
        <v/>
      </c>
      <c r="K28" s="18">
        <f>IF(F28-D28&lt;0,+(+F28-D28)*-1,0)</f>
        <v/>
      </c>
      <c r="L28" s="19">
        <f>+J28+K28</f>
        <v/>
      </c>
      <c r="M28" s="20" t="n">
        <v>0.7916666666666666</v>
      </c>
      <c r="N28" s="5" t="n">
        <v>0.3333333333333333</v>
      </c>
      <c r="O28" s="5">
        <f>IF((+E28+N28-M28)&gt;0,(+E28+N28-M28),0)</f>
        <v/>
      </c>
      <c r="P28" s="21">
        <f>+F28-E28</f>
        <v/>
      </c>
      <c r="Q28" s="21" t="n">
        <v>0.3333333333333333</v>
      </c>
      <c r="R28" s="21">
        <f>+P28-Q28</f>
        <v/>
      </c>
      <c r="S28" s="21" t="n"/>
      <c r="T28" s="21" t="n"/>
      <c r="U28" s="22" t="n"/>
    </row>
    <row r="29" ht="15" customHeight="1">
      <c r="A29" s="13" t="inlineStr">
        <is>
          <t>3</t>
        </is>
      </c>
      <c r="B29" s="93" t="n">
        <v>46169</v>
      </c>
      <c r="C29" s="15" t="n">
        <v>0.4375</v>
      </c>
      <c r="D29" s="15" t="n">
        <v>0.8333333333333334</v>
      </c>
      <c r="E29" s="94" t="n">
        <v>0.4390972222222222</v>
      </c>
      <c r="F29" s="94" t="n">
        <v>0.7934606481481481</v>
      </c>
      <c r="G29" s="17">
        <f>IF(C29-E29&gt;0,+C29-E29,0)</f>
        <v/>
      </c>
      <c r="H29" s="18">
        <f>IF(F29-D29&gt;0,+F29-D29,0)</f>
        <v/>
      </c>
      <c r="I29" s="18">
        <f>SUM(G29:H29)</f>
        <v/>
      </c>
      <c r="J29" s="18">
        <f>IF(C29-E29&lt;0,+(+C29-E29)*-1,0)</f>
        <v/>
      </c>
      <c r="K29" s="18">
        <f>IF(F29-D29&lt;0,+(+F29-D29)*-1,0)</f>
        <v/>
      </c>
      <c r="L29" s="19">
        <f>+J29+K29</f>
        <v/>
      </c>
      <c r="M29" s="20" t="n">
        <v>0.7916666666666666</v>
      </c>
      <c r="N29" s="5" t="n">
        <v>0.3333333333333333</v>
      </c>
      <c r="O29" s="5">
        <f>IF((+E29+N29-M29)&gt;0,(+E29+N29-M29),0)</f>
        <v/>
      </c>
      <c r="P29" s="21">
        <f>+F29-E29</f>
        <v/>
      </c>
      <c r="Q29" s="21" t="n">
        <v>0.3333333333333333</v>
      </c>
      <c r="R29" s="21">
        <f>+P29-Q29</f>
        <v/>
      </c>
      <c r="S29" s="21" t="n"/>
      <c r="T29" s="21" t="n"/>
      <c r="U29" s="22" t="n"/>
    </row>
    <row r="30" ht="15" customHeight="1">
      <c r="A30" s="13" t="inlineStr">
        <is>
          <t>3</t>
        </is>
      </c>
      <c r="B30" s="93" t="n">
        <v>46170</v>
      </c>
      <c r="C30" s="15" t="n">
        <v>0.4375</v>
      </c>
      <c r="D30" s="15" t="n">
        <v>0.8333333333333334</v>
      </c>
      <c r="E30" s="94" t="n">
        <v>0.440162037037037</v>
      </c>
      <c r="F30" s="94" t="n">
        <v>0.440162037037037</v>
      </c>
      <c r="G30" s="17">
        <f>IF(C30-E30&gt;0,+C30-E30,0)</f>
        <v/>
      </c>
      <c r="H30" s="18">
        <f>IF(F30-D30&gt;0,+F30-D30,0)</f>
        <v/>
      </c>
      <c r="I30" s="18">
        <f>SUM(G30:H30)</f>
        <v/>
      </c>
      <c r="J30" s="18">
        <f>IF(C30-E30&lt;0,+(+C30-E30)*-1,0)</f>
        <v/>
      </c>
      <c r="K30" s="18">
        <f>IF(F30-D30&lt;0,+(+F30-D30)*-1,0)</f>
        <v/>
      </c>
      <c r="L30" s="19">
        <f>+J30+K30</f>
        <v/>
      </c>
      <c r="M30" s="20" t="n">
        <v>0.7916666666666666</v>
      </c>
      <c r="N30" s="5" t="n">
        <v>0.3333333333333333</v>
      </c>
      <c r="O30" s="5">
        <f>IF((+E30+N30-M30)&gt;0,(+E30+N30-M30),0)</f>
        <v/>
      </c>
      <c r="P30" s="21">
        <f>+F30-E30</f>
        <v/>
      </c>
      <c r="Q30" s="21" t="n">
        <v>0.3333333333333333</v>
      </c>
      <c r="R30" s="21">
        <f>+P30-Q30</f>
        <v/>
      </c>
      <c r="S30" s="21" t="n"/>
      <c r="T30" s="21" t="n"/>
      <c r="U30" s="22" t="n"/>
    </row>
    <row r="31" ht="15" customHeight="1">
      <c r="A31" s="23" t="inlineStr">
        <is>
          <t>3</t>
        </is>
      </c>
      <c r="B31" s="95" t="n">
        <v>46171</v>
      </c>
      <c r="C31" s="25" t="n">
        <v>0.4375</v>
      </c>
      <c r="D31" s="25" t="n">
        <v>0.8333333333333334</v>
      </c>
      <c r="E31" s="96" t="n">
        <v>0.4371296296296296</v>
      </c>
      <c r="F31" s="96" t="n">
        <v>0.8155092592592592</v>
      </c>
      <c r="G31" s="27">
        <f>IF(C31-E31&gt;0,+C31-E31,0)</f>
        <v/>
      </c>
      <c r="H31" s="28">
        <f>IF(F31-D31&gt;0,+F31-D31,0)</f>
        <v/>
      </c>
      <c r="I31" s="28">
        <f>SUM(G31:H31)</f>
        <v/>
      </c>
      <c r="J31" s="28">
        <f>IF(C31-E31&lt;0,+(+C31-E31)*-1,0)</f>
        <v/>
      </c>
      <c r="K31" s="28">
        <f>IF(F31-D31&lt;0,+(+F31-D31)*-1,0)</f>
        <v/>
      </c>
      <c r="L31" s="29">
        <f>+J31+K31</f>
        <v/>
      </c>
      <c r="M31" s="30" t="n"/>
      <c r="N31" s="31" t="n"/>
      <c r="O31" s="31" t="n"/>
      <c r="P31" s="32">
        <f>+F31-E31</f>
        <v/>
      </c>
      <c r="Q31" s="32" t="n"/>
      <c r="R31" s="32" t="n"/>
      <c r="S31" s="32">
        <f>+F31-E31</f>
        <v/>
      </c>
      <c r="T31" s="32">
        <f>+S31</f>
        <v/>
      </c>
      <c r="U31" s="22" t="n"/>
    </row>
    <row r="32" ht="15" customHeight="1">
      <c r="A32" s="13" t="inlineStr">
        <is>
          <t>3</t>
        </is>
      </c>
      <c r="B32" s="93" t="n">
        <v>46172</v>
      </c>
      <c r="C32" s="15" t="n">
        <v>0.4375</v>
      </c>
      <c r="D32" s="15" t="n">
        <v>0.8333333333333334</v>
      </c>
      <c r="E32" s="94" t="n">
        <v>0.4200347222222222</v>
      </c>
      <c r="F32" s="94" t="n">
        <v>0.7456944444444444</v>
      </c>
      <c r="G32" s="17">
        <f>IF(C32-E32&gt;0,+C32-E32,0)</f>
        <v/>
      </c>
      <c r="H32" s="18">
        <f>IF(F32-D32&gt;0,+F32-D32,0)</f>
        <v/>
      </c>
      <c r="I32" s="18">
        <f>SUM(G32:H32)</f>
        <v/>
      </c>
      <c r="J32" s="18">
        <f>IF(C32-E32&lt;0,+(+C32-E32)*-1,0)</f>
        <v/>
      </c>
      <c r="K32" s="18">
        <f>IF(F32-D32&lt;0,+(+F32-D32)*-1,0)</f>
        <v/>
      </c>
      <c r="L32" s="19">
        <f>+J32+K32</f>
        <v/>
      </c>
      <c r="M32" s="20" t="n">
        <v>0.7916666666666666</v>
      </c>
      <c r="N32" s="5" t="n">
        <v>0.3333333333333333</v>
      </c>
      <c r="O32" s="5">
        <f>IF((+E32+N32-M32)&gt;0,(+E32+N32-M32),0)</f>
        <v/>
      </c>
      <c r="P32" s="21">
        <f>+F32-E32</f>
        <v/>
      </c>
      <c r="Q32" s="21" t="n">
        <v>0.3333333333333333</v>
      </c>
      <c r="R32" s="21">
        <f>+P32-Q32</f>
        <v/>
      </c>
      <c r="S32" s="21" t="n"/>
      <c r="T32" s="21" t="n"/>
      <c r="U32" s="22" t="n"/>
    </row>
    <row r="33" ht="15" customHeight="1">
      <c r="A33" s="13" t="inlineStr">
        <is>
          <t>3</t>
        </is>
      </c>
      <c r="B33" s="14" t="n"/>
      <c r="C33" s="15" t="n">
        <v>0.4375</v>
      </c>
      <c r="D33" s="15" t="n">
        <v>0.8333333333333334</v>
      </c>
      <c r="E33" s="16" t="n"/>
      <c r="F33" s="16" t="n"/>
      <c r="G33" s="17">
        <f>IF(C33-E33&gt;0,+C33-E33,0)</f>
        <v/>
      </c>
      <c r="H33" s="18">
        <f>IF(F33-D33&gt;0,+F33-D33,0)</f>
        <v/>
      </c>
      <c r="I33" s="18">
        <f>SUM(G33:H33)</f>
        <v/>
      </c>
      <c r="J33" s="18">
        <f>IF(C33-E33&lt;0,+(+C33-E33)*-1,0)</f>
        <v/>
      </c>
      <c r="K33" s="18">
        <f>IF(F33-D33&lt;0,+(+F33-D33)*-1,0)</f>
        <v/>
      </c>
      <c r="L33" s="19">
        <f>+J33+K33</f>
        <v/>
      </c>
      <c r="M33" s="20" t="n">
        <v>0.7916666666666666</v>
      </c>
      <c r="N33" s="5" t="n">
        <v>0.3333333333333333</v>
      </c>
      <c r="O33" s="5">
        <f>IF((+E33+N33-M33)&gt;0,(+E33+N33-M33),0)</f>
        <v/>
      </c>
      <c r="P33" s="21">
        <f>+F33-E33</f>
        <v/>
      </c>
      <c r="Q33" s="21" t="n">
        <v>0.3333333333333333</v>
      </c>
      <c r="R33" s="21">
        <f>+P33-Q33</f>
        <v/>
      </c>
      <c r="S33" s="21" t="n"/>
      <c r="T33" s="21" t="n"/>
      <c r="U33" s="22" t="n"/>
    </row>
    <row r="34" ht="15" customHeight="1">
      <c r="A34" s="33" t="n"/>
      <c r="B34" s="34" t="n"/>
      <c r="C34" s="35" t="n"/>
      <c r="D34" s="35" t="n"/>
      <c r="E34" s="36" t="n"/>
      <c r="F34" s="36" t="n"/>
      <c r="G34" s="37" t="n"/>
      <c r="H34" s="38" t="n"/>
      <c r="I34" s="38" t="n"/>
      <c r="J34" s="38" t="n"/>
      <c r="K34" s="38" t="n"/>
      <c r="L34" s="39" t="n"/>
      <c r="M34" s="40" t="n"/>
      <c r="N34" s="41" t="n"/>
      <c r="O34" s="41" t="n"/>
      <c r="P34" s="42" t="n"/>
      <c r="Q34" s="42" t="n"/>
      <c r="R34" s="42" t="n"/>
      <c r="S34" s="42" t="n"/>
      <c r="T34" s="42" t="n"/>
      <c r="U34" s="22" t="n"/>
    </row>
    <row r="35" ht="14.25" customHeight="1" thickBot="1">
      <c r="C35" s="43" t="n"/>
      <c r="D35" s="43" t="n"/>
      <c r="G35" s="44" t="n"/>
      <c r="H35" s="45" t="n"/>
      <c r="I35" s="45" t="n"/>
      <c r="J35" s="45" t="n"/>
      <c r="K35" s="45" t="n"/>
      <c r="L35" s="46" t="n"/>
      <c r="M35" s="47" t="n"/>
      <c r="N35" s="48" t="n"/>
      <c r="O35" s="49" t="n"/>
      <c r="P35" s="49" t="n"/>
      <c r="Q35" s="49" t="n"/>
      <c r="R35" s="49">
        <f>SUM(R8:R34)</f>
        <v/>
      </c>
      <c r="S35" s="49" t="n"/>
      <c r="T35" s="49">
        <f>SUM(T8:T34)</f>
        <v/>
      </c>
    </row>
    <row r="36">
      <c r="A36" s="22" t="n"/>
      <c r="J36" s="50" t="n"/>
      <c r="O36" s="50" t="n"/>
    </row>
    <row r="37" ht="14.25" customHeight="1" thickBot="1">
      <c r="A37" s="22" t="n"/>
      <c r="R37" s="51" t="n"/>
    </row>
    <row r="38" ht="54" customHeight="1">
      <c r="A38" s="22" t="n"/>
      <c r="G38" s="76" t="inlineStr">
        <is>
          <t>Tipo horas</t>
        </is>
      </c>
      <c r="H38" s="90" t="n"/>
      <c r="I38" s="8" t="inlineStr">
        <is>
          <t>No horas</t>
        </is>
      </c>
      <c r="J38" s="8" t="inlineStr">
        <is>
          <t>No. minutos</t>
        </is>
      </c>
      <c r="K38" s="9" t="inlineStr">
        <is>
          <t>Valor x  hora  US$</t>
        </is>
      </c>
      <c r="L38" s="8" t="inlineStr">
        <is>
          <t xml:space="preserve"> Recargo</t>
        </is>
      </c>
      <c r="M38" s="52" t="inlineStr">
        <is>
          <t>Valor x  hora con recargo                     US$</t>
        </is>
      </c>
      <c r="N38" s="53" t="inlineStr">
        <is>
          <t>Valor        horas          US$</t>
        </is>
      </c>
      <c r="O38" s="54" t="inlineStr">
        <is>
          <t>Valor        minutos          US$</t>
        </is>
      </c>
      <c r="P38" s="55" t="inlineStr">
        <is>
          <t>Valor total US$</t>
        </is>
      </c>
    </row>
    <row r="39">
      <c r="A39" s="22" t="n"/>
      <c r="G39" s="56" t="inlineStr">
        <is>
          <t>Horas nocturnas</t>
        </is>
      </c>
      <c r="H39" s="56" t="n"/>
      <c r="I39" s="57" t="n"/>
      <c r="J39" s="57" t="n"/>
      <c r="K39" s="97" t="n">
        <v>2.0154</v>
      </c>
      <c r="L39" s="98" t="n">
        <v>0.25</v>
      </c>
      <c r="M39" s="99">
        <f>+K39*L39</f>
        <v/>
      </c>
      <c r="N39" s="60">
        <f>+I39*M39</f>
        <v/>
      </c>
      <c r="O39" s="57">
        <f>(+M39/60)*J39</f>
        <v/>
      </c>
      <c r="P39" s="61">
        <f>+N39+O39</f>
        <v/>
      </c>
    </row>
    <row r="40">
      <c r="A40" s="22" t="n"/>
      <c r="C40" s="43" t="n"/>
      <c r="D40" s="62" t="n"/>
      <c r="G40" s="56" t="inlineStr">
        <is>
          <t>Horas suplemenarias</t>
        </is>
      </c>
      <c r="H40" s="56" t="n"/>
      <c r="I40" s="57" t="n">
        <v>18</v>
      </c>
      <c r="J40" s="57" t="n">
        <v>6</v>
      </c>
      <c r="K40" s="97" t="n">
        <v>2.0154</v>
      </c>
      <c r="L40" s="98" t="n">
        <v>1.5</v>
      </c>
      <c r="M40" s="99">
        <f>+K40*L40</f>
        <v/>
      </c>
      <c r="N40" s="60">
        <f>+I40*M40</f>
        <v/>
      </c>
      <c r="O40" s="57">
        <f>(+M40/60)*J40</f>
        <v/>
      </c>
      <c r="P40" s="61">
        <f>+N40+O40</f>
        <v/>
      </c>
    </row>
    <row r="41" ht="14.25" customHeight="1" thickBot="1">
      <c r="A41" s="22" t="n"/>
      <c r="C41" s="43" t="n"/>
      <c r="D41" s="43" t="n"/>
      <c r="G41" s="56" t="inlineStr">
        <is>
          <t>Horas extraordinarias</t>
        </is>
      </c>
      <c r="H41" s="56" t="n"/>
      <c r="I41" s="57" t="n">
        <v>65</v>
      </c>
      <c r="J41" s="57" t="n">
        <v>42</v>
      </c>
      <c r="K41" s="97" t="n">
        <v>2.0154</v>
      </c>
      <c r="L41" s="98" t="n">
        <v>2</v>
      </c>
      <c r="M41" s="99">
        <f>+K41*L41</f>
        <v/>
      </c>
      <c r="N41" s="63">
        <f>+I41*M41</f>
        <v/>
      </c>
      <c r="O41" s="64">
        <f>(+M41/60)*J41</f>
        <v/>
      </c>
      <c r="P41" s="61">
        <f>+N41+O41</f>
        <v/>
      </c>
      <c r="R41" s="65" t="n"/>
      <c r="S41" s="65" t="n"/>
    </row>
    <row r="42" ht="14.25" customHeight="1" thickBot="1">
      <c r="A42" s="22" t="n"/>
      <c r="C42" s="43" t="n"/>
      <c r="D42" s="43" t="n"/>
      <c r="L42" s="66" t="inlineStr">
        <is>
          <t>Total</t>
        </is>
      </c>
      <c r="M42" s="67" t="n"/>
      <c r="N42" s="68">
        <f>SUM(N39:N41)</f>
        <v/>
      </c>
      <c r="O42" s="68">
        <f>SUM(O39:O41)</f>
        <v/>
      </c>
      <c r="P42" s="69">
        <f>SUM(P39:P41)</f>
        <v/>
      </c>
      <c r="R42" s="77" t="inlineStr">
        <is>
          <t>FIRMA CONFORME</t>
        </is>
      </c>
      <c r="S42" s="100" t="n"/>
    </row>
    <row r="43"/>
    <row r="44">
      <c r="C44" s="43" t="n"/>
      <c r="D44" s="43" t="n"/>
    </row>
    <row r="45">
      <c r="C45" s="43" t="n"/>
      <c r="D45" s="43" t="n"/>
    </row>
  </sheetData>
  <mergeCells count="11">
    <mergeCell ref="S2:S3"/>
    <mergeCell ref="G38:H38"/>
    <mergeCell ref="M6:T6"/>
    <mergeCell ref="R42:S42"/>
    <mergeCell ref="G6:L6"/>
    <mergeCell ref="E6:E7"/>
    <mergeCell ref="C6:C7"/>
    <mergeCell ref="A6:A7"/>
    <mergeCell ref="D6:D7"/>
    <mergeCell ref="B6:B7"/>
    <mergeCell ref="F6:F7"/>
  </mergeCells>
  <pageMargins left="0.7086614173228347" right="0.7086614173228347" top="0.7480314960629921" bottom="0.7480314960629921" header="0.3149606299212598" footer="0.3149606299212598"/>
  <pageSetup orientation="landscape" scale="59" horizontalDpi="4294967293" verticalDpi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2014-07-31T19:04:40Z</dcterms:created>
  <dcterms:modified xsi:type="dcterms:W3CDTF">2026-07-05T15:21:37Z</dcterms:modified>
  <cp:lastModifiedBy>PAN CASERO</cp:lastModifiedBy>
  <cp:lastPrinted>2026-06-01T15:26:40Z</cp:lastPrinted>
</cp:coreProperties>
</file>