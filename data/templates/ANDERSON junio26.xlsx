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kya\OneDrive\Escritorio\ARCHIVO1\ROLES de pago PANADERIA 2026\HORAS 2026 JUNIO\"/>
    </mc:Choice>
  </mc:AlternateContent>
  <xr:revisionPtr revIDLastSave="0" documentId="13_ncr:1_{1C48823A-02CF-4E23-A313-E8E0C3EEEB27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JUNIO" sheetId="1" r:id="rId1"/>
    <sheet name="CALCUL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" i="2" l="1"/>
  <c r="R32" i="2" s="1"/>
  <c r="O32" i="2"/>
  <c r="L32" i="2"/>
  <c r="K32" i="2"/>
  <c r="J32" i="2"/>
  <c r="H32" i="2"/>
  <c r="I32" i="2" s="1"/>
  <c r="G32" i="2"/>
  <c r="P33" i="2"/>
  <c r="R33" i="2" s="1"/>
  <c r="O33" i="2"/>
  <c r="K33" i="2"/>
  <c r="J33" i="2"/>
  <c r="L33" i="2" s="1"/>
  <c r="H33" i="2"/>
  <c r="G33" i="2"/>
  <c r="I33" i="2" s="1"/>
  <c r="P26" i="2"/>
  <c r="R26" i="2" s="1"/>
  <c r="O26" i="2"/>
  <c r="K26" i="2"/>
  <c r="J26" i="2"/>
  <c r="L26" i="2" s="1"/>
  <c r="H26" i="2"/>
  <c r="G26" i="2"/>
  <c r="I26" i="2" s="1"/>
  <c r="S31" i="2"/>
  <c r="P31" i="2"/>
  <c r="K31" i="2"/>
  <c r="J31" i="2"/>
  <c r="H31" i="2"/>
  <c r="G31" i="2"/>
  <c r="S25" i="2"/>
  <c r="P25" i="2"/>
  <c r="K25" i="2"/>
  <c r="J25" i="2"/>
  <c r="H25" i="2"/>
  <c r="G25" i="2"/>
  <c r="S19" i="2"/>
  <c r="P19" i="2"/>
  <c r="K19" i="2"/>
  <c r="J19" i="2"/>
  <c r="H19" i="2"/>
  <c r="G19" i="2"/>
  <c r="S13" i="2"/>
  <c r="P13" i="2"/>
  <c r="K13" i="2"/>
  <c r="J13" i="2"/>
  <c r="H13" i="2"/>
  <c r="G13" i="2"/>
  <c r="P28" i="2"/>
  <c r="R28" i="2" s="1"/>
  <c r="O28" i="2"/>
  <c r="K28" i="2"/>
  <c r="J28" i="2"/>
  <c r="H28" i="2"/>
  <c r="G28" i="2"/>
  <c r="P27" i="2"/>
  <c r="R27" i="2" s="1"/>
  <c r="O27" i="2"/>
  <c r="K27" i="2"/>
  <c r="J27" i="2"/>
  <c r="H27" i="2"/>
  <c r="G27" i="2"/>
  <c r="P30" i="2"/>
  <c r="R30" i="2" s="1"/>
  <c r="O30" i="2"/>
  <c r="K30" i="2"/>
  <c r="J30" i="2"/>
  <c r="H30" i="2"/>
  <c r="G30" i="2"/>
  <c r="P29" i="2"/>
  <c r="R29" i="2" s="1"/>
  <c r="O29" i="2"/>
  <c r="K29" i="2"/>
  <c r="J29" i="2"/>
  <c r="H29" i="2"/>
  <c r="G29" i="2"/>
  <c r="P15" i="2"/>
  <c r="R15" i="2" s="1"/>
  <c r="O15" i="2"/>
  <c r="K15" i="2"/>
  <c r="J15" i="2"/>
  <c r="H15" i="2"/>
  <c r="G15" i="2"/>
  <c r="P14" i="2"/>
  <c r="R14" i="2" s="1"/>
  <c r="O14" i="2"/>
  <c r="K14" i="2"/>
  <c r="J14" i="2"/>
  <c r="H14" i="2"/>
  <c r="G14" i="2"/>
  <c r="P24" i="2"/>
  <c r="R24" i="2" s="1"/>
  <c r="O24" i="2"/>
  <c r="K24" i="2"/>
  <c r="J24" i="2"/>
  <c r="H24" i="2"/>
  <c r="G24" i="2"/>
  <c r="P23" i="2"/>
  <c r="R23" i="2" s="1"/>
  <c r="O23" i="2"/>
  <c r="K23" i="2"/>
  <c r="J23" i="2"/>
  <c r="H23" i="2"/>
  <c r="G23" i="2"/>
  <c r="P22" i="2"/>
  <c r="R22" i="2" s="1"/>
  <c r="O22" i="2"/>
  <c r="K22" i="2"/>
  <c r="J22" i="2"/>
  <c r="H22" i="2"/>
  <c r="G22" i="2"/>
  <c r="P21" i="2"/>
  <c r="R21" i="2" s="1"/>
  <c r="O21" i="2"/>
  <c r="K21" i="2"/>
  <c r="J21" i="2"/>
  <c r="H21" i="2"/>
  <c r="G21" i="2"/>
  <c r="P20" i="2"/>
  <c r="R20" i="2" s="1"/>
  <c r="O20" i="2"/>
  <c r="K20" i="2"/>
  <c r="J20" i="2"/>
  <c r="H20" i="2"/>
  <c r="G20" i="2"/>
  <c r="P18" i="2"/>
  <c r="R18" i="2" s="1"/>
  <c r="O18" i="2"/>
  <c r="K18" i="2"/>
  <c r="J18" i="2"/>
  <c r="H18" i="2"/>
  <c r="G18" i="2"/>
  <c r="P17" i="2"/>
  <c r="R17" i="2" s="1"/>
  <c r="O17" i="2"/>
  <c r="K17" i="2"/>
  <c r="J17" i="2"/>
  <c r="H17" i="2"/>
  <c r="G17" i="2"/>
  <c r="P16" i="2"/>
  <c r="R16" i="2" s="1"/>
  <c r="O16" i="2"/>
  <c r="K16" i="2"/>
  <c r="J16" i="2"/>
  <c r="H16" i="2"/>
  <c r="G16" i="2"/>
  <c r="P12" i="2"/>
  <c r="R12" i="2" s="1"/>
  <c r="O12" i="2"/>
  <c r="K12" i="2"/>
  <c r="J12" i="2"/>
  <c r="H12" i="2"/>
  <c r="G12" i="2"/>
  <c r="P11" i="2"/>
  <c r="R11" i="2" s="1"/>
  <c r="O11" i="2"/>
  <c r="K11" i="2"/>
  <c r="J11" i="2"/>
  <c r="H11" i="2"/>
  <c r="G11" i="2"/>
  <c r="P10" i="2"/>
  <c r="R10" i="2" s="1"/>
  <c r="O10" i="2"/>
  <c r="K10" i="2"/>
  <c r="J10" i="2"/>
  <c r="H10" i="2"/>
  <c r="G10" i="2"/>
  <c r="P9" i="2"/>
  <c r="R9" i="2" s="1"/>
  <c r="O9" i="2"/>
  <c r="K9" i="2"/>
  <c r="J9" i="2"/>
  <c r="H9" i="2"/>
  <c r="G9" i="2"/>
  <c r="P8" i="2"/>
  <c r="R8" i="2" s="1"/>
  <c r="O8" i="2"/>
  <c r="K8" i="2"/>
  <c r="J8" i="2"/>
  <c r="H8" i="2"/>
  <c r="G8" i="2"/>
  <c r="O34" i="2" l="1"/>
  <c r="I19" i="2"/>
  <c r="S34" i="2"/>
  <c r="R34" i="2"/>
  <c r="I13" i="2"/>
  <c r="I25" i="2"/>
  <c r="I31" i="2"/>
  <c r="L13" i="2"/>
  <c r="L25" i="2"/>
  <c r="L31" i="2"/>
  <c r="L28" i="2"/>
  <c r="I28" i="2"/>
  <c r="I27" i="2"/>
  <c r="L27" i="2"/>
  <c r="I22" i="2"/>
  <c r="L19" i="2"/>
  <c r="I14" i="2"/>
  <c r="I29" i="2"/>
  <c r="L30" i="2"/>
  <c r="I30" i="2"/>
  <c r="L29" i="2"/>
  <c r="L15" i="2"/>
  <c r="L14" i="2"/>
  <c r="I15" i="2"/>
  <c r="I17" i="2"/>
  <c r="L20" i="2"/>
  <c r="L22" i="2"/>
  <c r="I23" i="2"/>
  <c r="L24" i="2"/>
  <c r="L21" i="2"/>
  <c r="I24" i="2"/>
  <c r="L18" i="2"/>
  <c r="I16" i="2"/>
  <c r="L16" i="2"/>
  <c r="I20" i="2"/>
  <c r="I21" i="2"/>
  <c r="L23" i="2"/>
  <c r="I18" i="2"/>
  <c r="L17" i="2"/>
  <c r="L8" i="2"/>
  <c r="L10" i="2"/>
  <c r="I11" i="2"/>
  <c r="L12" i="2"/>
  <c r="L11" i="2"/>
  <c r="I10" i="2"/>
  <c r="I12" i="2"/>
  <c r="L9" i="2"/>
  <c r="I9" i="2"/>
  <c r="I8" i="2"/>
  <c r="N38" i="2" l="1"/>
  <c r="M39" i="2"/>
  <c r="O39" i="2" s="1"/>
  <c r="M40" i="2"/>
  <c r="O40" i="2" s="1"/>
  <c r="N40" i="2" l="1"/>
  <c r="P40" i="2" s="1"/>
  <c r="N39" i="2"/>
  <c r="O38" i="2" l="1"/>
  <c r="P38" i="2" s="1"/>
  <c r="P41" i="2" s="1"/>
  <c r="N41" i="2" l="1"/>
  <c r="O41" i="2"/>
</calcChain>
</file>

<file path=xl/sharedStrings.xml><?xml version="1.0" encoding="utf-8"?>
<sst xmlns="http://schemas.openxmlformats.org/spreadsheetml/2006/main" count="130" uniqueCount="62">
  <si>
    <t>ANDERSON BENAVIDES</t>
  </si>
  <si>
    <t>Entrada</t>
  </si>
  <si>
    <t>Salida</t>
  </si>
  <si>
    <t>HORARIO</t>
  </si>
  <si>
    <t>ENTRADA</t>
  </si>
  <si>
    <t>SALIDA</t>
  </si>
  <si>
    <t>Emp No.</t>
  </si>
  <si>
    <t>Fecha</t>
  </si>
  <si>
    <t>Marco Entrada</t>
  </si>
  <si>
    <t>Marco        Salida</t>
  </si>
  <si>
    <t>CONTROL ASISTENCIA</t>
  </si>
  <si>
    <t>Horas nocturnas, suplementarias y extraordinarias</t>
  </si>
  <si>
    <t>TOTAL</t>
  </si>
  <si>
    <t>Atraso</t>
  </si>
  <si>
    <t>Horario nocturno  base       noche</t>
  </si>
  <si>
    <t>Horario normal</t>
  </si>
  <si>
    <t xml:space="preserve">Horas Nocturnas </t>
  </si>
  <si>
    <t>Horas Suplement Base</t>
  </si>
  <si>
    <t xml:space="preserve">Horas Suplementarias </t>
  </si>
  <si>
    <t xml:space="preserve">Horas Extraordinarias </t>
  </si>
  <si>
    <t>3</t>
  </si>
  <si>
    <t>Tipo horas</t>
  </si>
  <si>
    <t>No horas</t>
  </si>
  <si>
    <t>No. minutos</t>
  </si>
  <si>
    <t>Valor x  hora  US$</t>
  </si>
  <si>
    <t xml:space="preserve"> Recargo</t>
  </si>
  <si>
    <t>Valor x  hora con recargo                     US$</t>
  </si>
  <si>
    <t>Valor        horas          US$</t>
  </si>
  <si>
    <t>Valor        minutos          US$</t>
  </si>
  <si>
    <t>Valor total US$</t>
  </si>
  <si>
    <t>Horas nocturnas</t>
  </si>
  <si>
    <t>Horas suplemenarias</t>
  </si>
  <si>
    <t>Horas extraordinarias</t>
  </si>
  <si>
    <t>Total</t>
  </si>
  <si>
    <t>AC-No.</t>
  </si>
  <si>
    <t>IMSS/CURP</t>
  </si>
  <si>
    <t>Nombre</t>
  </si>
  <si>
    <t>Fecha y hora</t>
  </si>
  <si>
    <t>ZAIDA DIDONATO</t>
  </si>
  <si>
    <t>10</t>
  </si>
  <si>
    <t>ANDERSON 10</t>
  </si>
  <si>
    <t>01/06/2026 12:36:05</t>
  </si>
  <si>
    <t>01/06/2026 20:43:28</t>
  </si>
  <si>
    <t>02/06/2026 12:40:01</t>
  </si>
  <si>
    <t>02/06/2026 20:39:43</t>
  </si>
  <si>
    <t>03/06/2026 12:42:35</t>
  </si>
  <si>
    <t>03/06/2026 20:42:24</t>
  </si>
  <si>
    <t>04/06/2026 12:23:09</t>
  </si>
  <si>
    <t>04/06/2026 20:39:36</t>
  </si>
  <si>
    <t>05/06/2026 12:36:39</t>
  </si>
  <si>
    <t>05/06/2026 20:38:31</t>
  </si>
  <si>
    <t>06/06/2026 13:31:55</t>
  </si>
  <si>
    <t>06/06/2026 20:16:05</t>
  </si>
  <si>
    <t>08/06/2026 12:23:55</t>
  </si>
  <si>
    <t>08/06/2026 20:39:58</t>
  </si>
  <si>
    <t>09/06/2026 12:25:53</t>
  </si>
  <si>
    <t>09/06/2026 20:42:05</t>
  </si>
  <si>
    <t>10/06/2026 12:34:17</t>
  </si>
  <si>
    <t>10/06/2026 20:42:36</t>
  </si>
  <si>
    <t>11/06/2026 12:19:18</t>
  </si>
  <si>
    <t>11/06/2026 20:42:30</t>
  </si>
  <si>
    <t>REPORTES DE HORAS RELOJ JUNIO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</si>
</sst>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_-;\-* #,##0.0000_-;_-* &quot;-&quot;??_-;_-@_-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Segoe UI"/>
      <family val="2"/>
    </font>
    <font>
      <sz val="8"/>
      <name val="Arial"/>
      <family val="2"/>
    </font>
    <font>
      <sz val="9"/>
      <name val="Malgun Gothic"/>
      <family val="2"/>
    </font>
    <font>
      <i/>
      <sz val="9"/>
      <name val="Malgun Gothic"/>
      <family val="2"/>
    </font>
    <font>
      <sz val="10"/>
      <name val="Malgun Gothic"/>
      <family val="2"/>
    </font>
    <font>
      <sz val="8"/>
      <name val="Tahoma"/>
      <family val="2"/>
    </font>
    <font>
      <sz val="8"/>
      <name val="Tahoma"/>
      <charset val="1"/>
    </font>
    <font>
      <sz val="9"/>
      <color theme="0"/>
      <name val="Malgun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3">
    <xf numFmtId="0" fontId="0" fillId="0" borderId="0"/>
    <xf numFmtId="0" fontId="2" fillId="0" borderId="0"/>
    <xf numFmtId="43" fontId="1" fillId="0" borderId="0" applyFont="0" applyFill="0" applyBorder="0" applyAlignment="0" applyProtection="0"/>
  </cellStyleXfs>
  <cellXfs count="7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21" fontId="5" fillId="0" borderId="0" xfId="0" applyNumberFormat="1" applyFont="1" applyAlignment="1">
      <alignment horizontal="center"/>
    </xf>
    <xf numFmtId="21" fontId="5" fillId="0" borderId="0" xfId="0" applyNumberFormat="1" applyFont="1"/>
    <xf numFmtId="0" fontId="6" fillId="0" borderId="0" xfId="0" applyFont="1"/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7" fillId="0" borderId="2" xfId="1" applyFont="1" applyBorder="1"/>
    <xf numFmtId="14" fontId="7" fillId="0" borderId="2" xfId="1" applyNumberFormat="1" applyFont="1" applyBorder="1"/>
    <xf numFmtId="21" fontId="7" fillId="0" borderId="2" xfId="1" applyNumberFormat="1" applyFont="1" applyBorder="1"/>
    <xf numFmtId="20" fontId="7" fillId="0" borderId="2" xfId="0" applyNumberFormat="1" applyFont="1" applyBorder="1" applyAlignment="1">
      <alignment horizontal="center"/>
    </xf>
    <xf numFmtId="20" fontId="7" fillId="2" borderId="2" xfId="0" applyNumberFormat="1" applyFont="1" applyFill="1" applyBorder="1" applyAlignment="1">
      <alignment horizontal="center"/>
    </xf>
    <xf numFmtId="21" fontId="7" fillId="0" borderId="2" xfId="0" applyNumberFormat="1" applyFont="1" applyBorder="1" applyAlignment="1">
      <alignment horizontal="right"/>
    </xf>
    <xf numFmtId="20" fontId="7" fillId="0" borderId="12" xfId="0" applyNumberFormat="1" applyFont="1" applyBorder="1" applyAlignment="1">
      <alignment horizontal="right"/>
    </xf>
    <xf numFmtId="21" fontId="7" fillId="0" borderId="1" xfId="0" applyNumberFormat="1" applyFont="1" applyBorder="1" applyAlignment="1">
      <alignment horizontal="center"/>
    </xf>
    <xf numFmtId="21" fontId="7" fillId="0" borderId="2" xfId="0" applyNumberFormat="1" applyFont="1" applyBorder="1"/>
    <xf numFmtId="49" fontId="5" fillId="0" borderId="0" xfId="0" applyNumberFormat="1" applyFont="1"/>
    <xf numFmtId="0" fontId="7" fillId="3" borderId="2" xfId="1" applyFont="1" applyFill="1" applyBorder="1"/>
    <xf numFmtId="14" fontId="7" fillId="3" borderId="2" xfId="1" applyNumberFormat="1" applyFont="1" applyFill="1" applyBorder="1"/>
    <xf numFmtId="21" fontId="7" fillId="3" borderId="2" xfId="1" applyNumberFormat="1" applyFont="1" applyFill="1" applyBorder="1"/>
    <xf numFmtId="20" fontId="7" fillId="3" borderId="2" xfId="0" applyNumberFormat="1" applyFont="1" applyFill="1" applyBorder="1" applyAlignment="1">
      <alignment horizontal="center"/>
    </xf>
    <xf numFmtId="21" fontId="7" fillId="3" borderId="2" xfId="0" applyNumberFormat="1" applyFont="1" applyFill="1" applyBorder="1" applyAlignment="1">
      <alignment horizontal="right"/>
    </xf>
    <xf numFmtId="20" fontId="7" fillId="3" borderId="12" xfId="0" applyNumberFormat="1" applyFont="1" applyFill="1" applyBorder="1" applyAlignment="1">
      <alignment horizontal="right"/>
    </xf>
    <xf numFmtId="21" fontId="7" fillId="3" borderId="1" xfId="0" applyNumberFormat="1" applyFont="1" applyFill="1" applyBorder="1" applyAlignment="1">
      <alignment horizontal="center"/>
    </xf>
    <xf numFmtId="21" fontId="7" fillId="3" borderId="2" xfId="0" applyNumberFormat="1" applyFont="1" applyFill="1" applyBorder="1"/>
    <xf numFmtId="0" fontId="7" fillId="0" borderId="0" xfId="0" applyFont="1"/>
    <xf numFmtId="0" fontId="7" fillId="0" borderId="0" xfId="0" applyFont="1" applyAlignment="1">
      <alignment horizontal="center"/>
    </xf>
    <xf numFmtId="46" fontId="7" fillId="0" borderId="0" xfId="0" applyNumberFormat="1" applyFont="1"/>
    <xf numFmtId="46" fontId="5" fillId="0" borderId="0" xfId="0" applyNumberFormat="1" applyFont="1"/>
    <xf numFmtId="49" fontId="7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/>
    </xf>
    <xf numFmtId="20" fontId="7" fillId="0" borderId="0" xfId="0" applyNumberFormat="1" applyFont="1"/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49" fontId="7" fillId="0" borderId="0" xfId="0" applyNumberFormat="1" applyFont="1"/>
    <xf numFmtId="0" fontId="7" fillId="0" borderId="2" xfId="0" applyFont="1" applyBorder="1"/>
    <xf numFmtId="2" fontId="7" fillId="0" borderId="2" xfId="0" applyNumberFormat="1" applyFont="1" applyBorder="1"/>
    <xf numFmtId="43" fontId="7" fillId="0" borderId="2" xfId="2" applyFont="1" applyFill="1" applyBorder="1"/>
    <xf numFmtId="2" fontId="5" fillId="0" borderId="11" xfId="2" applyNumberFormat="1" applyFont="1" applyFill="1" applyBorder="1"/>
    <xf numFmtId="2" fontId="5" fillId="0" borderId="12" xfId="0" applyNumberFormat="1" applyFont="1" applyBorder="1"/>
    <xf numFmtId="43" fontId="7" fillId="0" borderId="3" xfId="0" applyNumberFormat="1" applyFont="1" applyBorder="1"/>
    <xf numFmtId="0" fontId="7" fillId="0" borderId="3" xfId="0" applyFont="1" applyBorder="1"/>
    <xf numFmtId="2" fontId="7" fillId="0" borderId="16" xfId="0" applyNumberFormat="1" applyFont="1" applyBorder="1"/>
    <xf numFmtId="20" fontId="7" fillId="0" borderId="0" xfId="0" applyNumberFormat="1" applyFont="1" applyAlignment="1">
      <alignment horizontal="center"/>
    </xf>
    <xf numFmtId="0" fontId="7" fillId="2" borderId="0" xfId="0" applyFont="1" applyFill="1"/>
    <xf numFmtId="0" fontId="5" fillId="2" borderId="0" xfId="0" applyFont="1" applyFill="1"/>
    <xf numFmtId="49" fontId="8" fillId="4" borderId="0" xfId="0" applyNumberFormat="1" applyFont="1" applyFill="1" applyAlignment="1">
      <alignment horizontal="left" vertical="center"/>
    </xf>
    <xf numFmtId="164" fontId="7" fillId="0" borderId="2" xfId="2" applyNumberFormat="1" applyFont="1" applyFill="1" applyBorder="1"/>
    <xf numFmtId="49" fontId="9" fillId="4" borderId="17" xfId="0" applyNumberFormat="1" applyFont="1" applyFill="1" applyBorder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21" fontId="10" fillId="0" borderId="0" xfId="0" applyNumberFormat="1" applyFont="1" applyAlignment="1">
      <alignment horizontal="center" vertical="center"/>
    </xf>
    <xf numFmtId="21" fontId="10" fillId="0" borderId="0" xfId="0" applyNumberFormat="1" applyFont="1" applyAlignment="1">
      <alignment horizontal="center"/>
    </xf>
    <xf numFmtId="0" fontId="7" fillId="0" borderId="2" xfId="0" applyFont="1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wrapText="1"/>
    </xf>
    <xf numFmtId="0" fontId="5" fillId="0" borderId="3" xfId="1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3">
    <cellStyle name="Millares" xfId="2" builtinId="3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83"/>
  <sheetViews>
    <sheetView topLeftCell="A3" workbookViewId="0">
      <selection activeCell="C20" sqref="C20"/>
    </sheetView>
  </sheetViews>
  <sheetFormatPr baseColWidth="10" defaultRowHeight="10.5" x14ac:dyDescent="0.15"/>
  <cols>
    <col min="1" max="1" width="11.140625" style="1" customWidth="1"/>
    <col min="2" max="2" width="15.42578125" style="1" customWidth="1"/>
    <col min="3" max="3" width="19.42578125" style="1" customWidth="1"/>
    <col min="4" max="4" width="22" style="2" customWidth="1"/>
    <col min="5" max="238" width="11.42578125" style="1"/>
    <col min="239" max="239" width="20" style="1" customWidth="1"/>
    <col min="240" max="494" width="11.42578125" style="1"/>
    <col min="495" max="495" width="20" style="1" customWidth="1"/>
    <col min="496" max="750" width="11.42578125" style="1"/>
    <col min="751" max="751" width="20" style="1" customWidth="1"/>
    <col min="752" max="1006" width="11.42578125" style="1"/>
    <col min="1007" max="1007" width="20" style="1" customWidth="1"/>
    <col min="1008" max="1262" width="11.42578125" style="1"/>
    <col min="1263" max="1263" width="20" style="1" customWidth="1"/>
    <col min="1264" max="1518" width="11.42578125" style="1"/>
    <col min="1519" max="1519" width="20" style="1" customWidth="1"/>
    <col min="1520" max="1774" width="11.42578125" style="1"/>
    <col min="1775" max="1775" width="20" style="1" customWidth="1"/>
    <col min="1776" max="2030" width="11.42578125" style="1"/>
    <col min="2031" max="2031" width="20" style="1" customWidth="1"/>
    <col min="2032" max="2286" width="11.42578125" style="1"/>
    <col min="2287" max="2287" width="20" style="1" customWidth="1"/>
    <col min="2288" max="2542" width="11.42578125" style="1"/>
    <col min="2543" max="2543" width="20" style="1" customWidth="1"/>
    <col min="2544" max="2798" width="11.42578125" style="1"/>
    <col min="2799" max="2799" width="20" style="1" customWidth="1"/>
    <col min="2800" max="3054" width="11.42578125" style="1"/>
    <col min="3055" max="3055" width="20" style="1" customWidth="1"/>
    <col min="3056" max="3310" width="11.42578125" style="1"/>
    <col min="3311" max="3311" width="20" style="1" customWidth="1"/>
    <col min="3312" max="3566" width="11.42578125" style="1"/>
    <col min="3567" max="3567" width="20" style="1" customWidth="1"/>
    <col min="3568" max="3822" width="11.42578125" style="1"/>
    <col min="3823" max="3823" width="20" style="1" customWidth="1"/>
    <col min="3824" max="4078" width="11.42578125" style="1"/>
    <col min="4079" max="4079" width="20" style="1" customWidth="1"/>
    <col min="4080" max="4334" width="11.42578125" style="1"/>
    <col min="4335" max="4335" width="20" style="1" customWidth="1"/>
    <col min="4336" max="4590" width="11.42578125" style="1"/>
    <col min="4591" max="4591" width="20" style="1" customWidth="1"/>
    <col min="4592" max="4846" width="11.42578125" style="1"/>
    <col min="4847" max="4847" width="20" style="1" customWidth="1"/>
    <col min="4848" max="5102" width="11.42578125" style="1"/>
    <col min="5103" max="5103" width="20" style="1" customWidth="1"/>
    <col min="5104" max="5358" width="11.42578125" style="1"/>
    <col min="5359" max="5359" width="20" style="1" customWidth="1"/>
    <col min="5360" max="5614" width="11.42578125" style="1"/>
    <col min="5615" max="5615" width="20" style="1" customWidth="1"/>
    <col min="5616" max="5870" width="11.42578125" style="1"/>
    <col min="5871" max="5871" width="20" style="1" customWidth="1"/>
    <col min="5872" max="6126" width="11.42578125" style="1"/>
    <col min="6127" max="6127" width="20" style="1" customWidth="1"/>
    <col min="6128" max="6382" width="11.42578125" style="1"/>
    <col min="6383" max="6383" width="20" style="1" customWidth="1"/>
    <col min="6384" max="6638" width="11.42578125" style="1"/>
    <col min="6639" max="6639" width="20" style="1" customWidth="1"/>
    <col min="6640" max="6894" width="11.42578125" style="1"/>
    <col min="6895" max="6895" width="20" style="1" customWidth="1"/>
    <col min="6896" max="7150" width="11.42578125" style="1"/>
    <col min="7151" max="7151" width="20" style="1" customWidth="1"/>
    <col min="7152" max="7406" width="11.42578125" style="1"/>
    <col min="7407" max="7407" width="20" style="1" customWidth="1"/>
    <col min="7408" max="7662" width="11.42578125" style="1"/>
    <col min="7663" max="7663" width="20" style="1" customWidth="1"/>
    <col min="7664" max="7918" width="11.42578125" style="1"/>
    <col min="7919" max="7919" width="20" style="1" customWidth="1"/>
    <col min="7920" max="8174" width="11.42578125" style="1"/>
    <col min="8175" max="8175" width="20" style="1" customWidth="1"/>
    <col min="8176" max="8430" width="11.42578125" style="1"/>
    <col min="8431" max="8431" width="20" style="1" customWidth="1"/>
    <col min="8432" max="8686" width="11.42578125" style="1"/>
    <col min="8687" max="8687" width="20" style="1" customWidth="1"/>
    <col min="8688" max="8942" width="11.42578125" style="1"/>
    <col min="8943" max="8943" width="20" style="1" customWidth="1"/>
    <col min="8944" max="9198" width="11.42578125" style="1"/>
    <col min="9199" max="9199" width="20" style="1" customWidth="1"/>
    <col min="9200" max="9454" width="11.42578125" style="1"/>
    <col min="9455" max="9455" width="20" style="1" customWidth="1"/>
    <col min="9456" max="9710" width="11.42578125" style="1"/>
    <col min="9711" max="9711" width="20" style="1" customWidth="1"/>
    <col min="9712" max="9966" width="11.42578125" style="1"/>
    <col min="9967" max="9967" width="20" style="1" customWidth="1"/>
    <col min="9968" max="10222" width="11.42578125" style="1"/>
    <col min="10223" max="10223" width="20" style="1" customWidth="1"/>
    <col min="10224" max="10478" width="11.42578125" style="1"/>
    <col min="10479" max="10479" width="20" style="1" customWidth="1"/>
    <col min="10480" max="10734" width="11.42578125" style="1"/>
    <col min="10735" max="10735" width="20" style="1" customWidth="1"/>
    <col min="10736" max="10990" width="11.42578125" style="1"/>
    <col min="10991" max="10991" width="20" style="1" customWidth="1"/>
    <col min="10992" max="11246" width="11.42578125" style="1"/>
    <col min="11247" max="11247" width="20" style="1" customWidth="1"/>
    <col min="11248" max="11502" width="11.42578125" style="1"/>
    <col min="11503" max="11503" width="20" style="1" customWidth="1"/>
    <col min="11504" max="11758" width="11.42578125" style="1"/>
    <col min="11759" max="11759" width="20" style="1" customWidth="1"/>
    <col min="11760" max="12014" width="11.42578125" style="1"/>
    <col min="12015" max="12015" width="20" style="1" customWidth="1"/>
    <col min="12016" max="12270" width="11.42578125" style="1"/>
    <col min="12271" max="12271" width="20" style="1" customWidth="1"/>
    <col min="12272" max="12526" width="11.42578125" style="1"/>
    <col min="12527" max="12527" width="20" style="1" customWidth="1"/>
    <col min="12528" max="12782" width="11.42578125" style="1"/>
    <col min="12783" max="12783" width="20" style="1" customWidth="1"/>
    <col min="12784" max="13038" width="11.42578125" style="1"/>
    <col min="13039" max="13039" width="20" style="1" customWidth="1"/>
    <col min="13040" max="13294" width="11.42578125" style="1"/>
    <col min="13295" max="13295" width="20" style="1" customWidth="1"/>
    <col min="13296" max="13550" width="11.42578125" style="1"/>
    <col min="13551" max="13551" width="20" style="1" customWidth="1"/>
    <col min="13552" max="13806" width="11.42578125" style="1"/>
    <col min="13807" max="13807" width="20" style="1" customWidth="1"/>
    <col min="13808" max="14062" width="11.42578125" style="1"/>
    <col min="14063" max="14063" width="20" style="1" customWidth="1"/>
    <col min="14064" max="14318" width="11.42578125" style="1"/>
    <col min="14319" max="14319" width="20" style="1" customWidth="1"/>
    <col min="14320" max="14574" width="11.42578125" style="1"/>
    <col min="14575" max="14575" width="20" style="1" customWidth="1"/>
    <col min="14576" max="14830" width="11.42578125" style="1"/>
    <col min="14831" max="14831" width="20" style="1" customWidth="1"/>
    <col min="14832" max="15086" width="11.42578125" style="1"/>
    <col min="15087" max="15087" width="20" style="1" customWidth="1"/>
    <col min="15088" max="15342" width="11.42578125" style="1"/>
    <col min="15343" max="15343" width="20" style="1" customWidth="1"/>
    <col min="15344" max="15598" width="11.42578125" style="1"/>
    <col min="15599" max="15599" width="20" style="1" customWidth="1"/>
    <col min="15600" max="15854" width="11.42578125" style="1"/>
    <col min="15855" max="15855" width="20" style="1" customWidth="1"/>
    <col min="15856" max="16110" width="11.42578125" style="1"/>
    <col min="16111" max="16111" width="20" style="1" customWidth="1"/>
    <col min="16112" max="16384" width="11.42578125" style="1"/>
  </cols>
  <sheetData>
    <row r="1" spans="1:4" x14ac:dyDescent="0.15">
      <c r="A1" s="1" t="s">
        <v>34</v>
      </c>
      <c r="B1" s="1" t="s">
        <v>35</v>
      </c>
      <c r="C1" s="1" t="s">
        <v>36</v>
      </c>
      <c r="D1" s="2" t="s">
        <v>37</v>
      </c>
    </row>
    <row r="2" spans="1:4" ht="18.75" customHeight="1" x14ac:dyDescent="0.2">
      <c r="A2" s="59" t="s">
        <v>39</v>
      </c>
      <c r="B2" s="59" t="s">
        <v>40</v>
      </c>
      <c r="C2" s="59" t="s">
        <v>41</v>
      </c>
      <c r="D2" s="3"/>
    </row>
    <row r="3" spans="1:4" ht="18.75" customHeight="1" x14ac:dyDescent="0.2">
      <c r="A3" s="59" t="s">
        <v>39</v>
      </c>
      <c r="B3" s="59" t="s">
        <v>40</v>
      </c>
      <c r="C3" s="59" t="s">
        <v>42</v>
      </c>
      <c r="D3" s="3"/>
    </row>
    <row r="4" spans="1:4" ht="18.75" customHeight="1" x14ac:dyDescent="0.2">
      <c r="A4" s="59" t="s">
        <v>39</v>
      </c>
      <c r="B4" s="59" t="s">
        <v>40</v>
      </c>
      <c r="C4" s="59" t="s">
        <v>43</v>
      </c>
      <c r="D4" s="3"/>
    </row>
    <row r="5" spans="1:4" ht="18.75" customHeight="1" x14ac:dyDescent="0.2">
      <c r="A5" s="59" t="s">
        <v>39</v>
      </c>
      <c r="B5" s="59" t="s">
        <v>40</v>
      </c>
      <c r="C5" s="59" t="s">
        <v>44</v>
      </c>
      <c r="D5" s="3"/>
    </row>
    <row r="6" spans="1:4" ht="18.75" customHeight="1" x14ac:dyDescent="0.2">
      <c r="A6" s="59" t="s">
        <v>39</v>
      </c>
      <c r="B6" s="59" t="s">
        <v>40</v>
      </c>
      <c r="C6" s="59" t="s">
        <v>45</v>
      </c>
      <c r="D6" s="3"/>
    </row>
    <row r="7" spans="1:4" ht="18.75" customHeight="1" x14ac:dyDescent="0.2">
      <c r="A7" s="59" t="s">
        <v>39</v>
      </c>
      <c r="B7" s="59" t="s">
        <v>40</v>
      </c>
      <c r="C7" s="59" t="s">
        <v>46</v>
      </c>
      <c r="D7" s="3"/>
    </row>
    <row r="8" spans="1:4" ht="18.75" customHeight="1" x14ac:dyDescent="0.2">
      <c r="A8" s="59" t="s">
        <v>39</v>
      </c>
      <c r="B8" s="59" t="s">
        <v>40</v>
      </c>
      <c r="C8" s="59" t="s">
        <v>47</v>
      </c>
      <c r="D8" s="3"/>
    </row>
    <row r="9" spans="1:4" ht="18.75" customHeight="1" x14ac:dyDescent="0.2">
      <c r="A9" s="59" t="s">
        <v>39</v>
      </c>
      <c r="B9" s="59" t="s">
        <v>40</v>
      </c>
      <c r="C9" s="59" t="s">
        <v>48</v>
      </c>
      <c r="D9" s="3"/>
    </row>
    <row r="10" spans="1:4" ht="18.75" customHeight="1" x14ac:dyDescent="0.2">
      <c r="A10" s="59" t="s">
        <v>39</v>
      </c>
      <c r="B10" s="59" t="s">
        <v>40</v>
      </c>
      <c r="C10" s="59" t="s">
        <v>49</v>
      </c>
      <c r="D10" s="3"/>
    </row>
    <row r="11" spans="1:4" ht="18.75" customHeight="1" x14ac:dyDescent="0.2">
      <c r="A11" s="59" t="s">
        <v>39</v>
      </c>
      <c r="B11" s="59" t="s">
        <v>40</v>
      </c>
      <c r="C11" s="59" t="s">
        <v>50</v>
      </c>
      <c r="D11" s="3"/>
    </row>
    <row r="12" spans="1:4" ht="18.75" customHeight="1" x14ac:dyDescent="0.2">
      <c r="A12" s="59" t="s">
        <v>39</v>
      </c>
      <c r="B12" s="59" t="s">
        <v>40</v>
      </c>
      <c r="C12" s="59" t="s">
        <v>51</v>
      </c>
      <c r="D12" s="3"/>
    </row>
    <row r="13" spans="1:4" ht="18.75" customHeight="1" x14ac:dyDescent="0.2">
      <c r="A13" s="59" t="s">
        <v>39</v>
      </c>
      <c r="B13" s="59" t="s">
        <v>40</v>
      </c>
      <c r="C13" s="59" t="s">
        <v>52</v>
      </c>
      <c r="D13" s="3"/>
    </row>
    <row r="14" spans="1:4" ht="18.75" customHeight="1" x14ac:dyDescent="0.2">
      <c r="A14" s="59" t="s">
        <v>39</v>
      </c>
      <c r="B14" s="59" t="s">
        <v>40</v>
      </c>
      <c r="C14" s="59" t="s">
        <v>53</v>
      </c>
      <c r="D14" s="3"/>
    </row>
    <row r="15" spans="1:4" ht="18.75" customHeight="1" x14ac:dyDescent="0.2">
      <c r="A15" s="59" t="s">
        <v>39</v>
      </c>
      <c r="B15" s="59" t="s">
        <v>40</v>
      </c>
      <c r="C15" s="59" t="s">
        <v>54</v>
      </c>
      <c r="D15" s="3"/>
    </row>
    <row r="16" spans="1:4" ht="18.75" customHeight="1" x14ac:dyDescent="0.2">
      <c r="A16" s="59" t="s">
        <v>39</v>
      </c>
      <c r="B16" s="59" t="s">
        <v>40</v>
      </c>
      <c r="C16" s="59" t="s">
        <v>55</v>
      </c>
      <c r="D16" s="3"/>
    </row>
    <row r="17" spans="1:4" ht="18.75" customHeight="1" x14ac:dyDescent="0.2">
      <c r="A17" s="59" t="s">
        <v>39</v>
      </c>
      <c r="B17" s="59" t="s">
        <v>40</v>
      </c>
      <c r="C17" s="59" t="s">
        <v>56</v>
      </c>
      <c r="D17" s="3"/>
    </row>
    <row r="18" spans="1:4" ht="18.75" customHeight="1" x14ac:dyDescent="0.2">
      <c r="A18" s="59" t="s">
        <v>39</v>
      </c>
      <c r="B18" s="59" t="s">
        <v>40</v>
      </c>
      <c r="C18" s="59" t="s">
        <v>57</v>
      </c>
      <c r="D18" s="3"/>
    </row>
    <row r="19" spans="1:4" ht="18.75" customHeight="1" x14ac:dyDescent="0.2">
      <c r="A19" s="59" t="s">
        <v>39</v>
      </c>
      <c r="B19" s="59" t="s">
        <v>40</v>
      </c>
      <c r="C19" s="59" t="s">
        <v>58</v>
      </c>
      <c r="D19" s="3"/>
    </row>
    <row r="20" spans="1:4" ht="18.75" customHeight="1" x14ac:dyDescent="0.2">
      <c r="A20" s="59" t="s">
        <v>39</v>
      </c>
      <c r="B20" s="59" t="s">
        <v>40</v>
      </c>
      <c r="C20" s="59" t="s">
        <v>59</v>
      </c>
      <c r="D20" s="3"/>
    </row>
    <row r="21" spans="1:4" ht="18.75" customHeight="1" x14ac:dyDescent="0.2">
      <c r="A21" s="59" t="s">
        <v>39</v>
      </c>
      <c r="B21" s="59" t="s">
        <v>40</v>
      </c>
      <c r="C21" s="59" t="s">
        <v>60</v>
      </c>
      <c r="D21" s="3"/>
    </row>
    <row r="22" spans="1:4" ht="18.75" customHeight="1" x14ac:dyDescent="0.2">
      <c r="A22" s="59"/>
      <c r="B22" s="59"/>
      <c r="C22" s="59"/>
      <c r="D22" s="3"/>
    </row>
    <row r="23" spans="1:4" ht="18.75" customHeight="1" x14ac:dyDescent="0.2">
      <c r="A23" s="59"/>
      <c r="B23" s="59"/>
      <c r="C23" s="59"/>
      <c r="D23" s="3"/>
    </row>
    <row r="24" spans="1:4" ht="18.75" customHeight="1" x14ac:dyDescent="0.2">
      <c r="A24" s="59"/>
      <c r="B24" s="59"/>
      <c r="C24" s="59"/>
      <c r="D24" s="3"/>
    </row>
    <row r="25" spans="1:4" ht="18.75" customHeight="1" x14ac:dyDescent="0.2">
      <c r="A25" s="59"/>
      <c r="B25" s="59"/>
      <c r="C25" s="59"/>
      <c r="D25" s="3"/>
    </row>
    <row r="26" spans="1:4" ht="18.75" customHeight="1" x14ac:dyDescent="0.2">
      <c r="A26" s="59"/>
      <c r="B26" s="59"/>
      <c r="C26" s="59"/>
      <c r="D26" s="3"/>
    </row>
    <row r="27" spans="1:4" ht="18.75" customHeight="1" x14ac:dyDescent="0.2">
      <c r="A27" s="59"/>
      <c r="B27" s="59"/>
      <c r="C27" s="59"/>
      <c r="D27" s="3"/>
    </row>
    <row r="28" spans="1:4" ht="18.75" customHeight="1" x14ac:dyDescent="0.2">
      <c r="A28" s="59"/>
      <c r="B28" s="59"/>
      <c r="C28" s="59"/>
      <c r="D28" s="3"/>
    </row>
    <row r="29" spans="1:4" ht="18.75" customHeight="1" x14ac:dyDescent="0.2">
      <c r="A29" s="59"/>
      <c r="B29" s="59"/>
      <c r="C29" s="59"/>
      <c r="D29" s="3"/>
    </row>
    <row r="30" spans="1:4" ht="18.75" customHeight="1" x14ac:dyDescent="0.2">
      <c r="A30" s="59"/>
      <c r="B30" s="59"/>
      <c r="C30" s="59"/>
      <c r="D30" s="3"/>
    </row>
    <row r="31" spans="1:4" ht="18.75" customHeight="1" x14ac:dyDescent="0.2">
      <c r="A31" s="59"/>
      <c r="B31" s="59"/>
      <c r="C31" s="59"/>
      <c r="D31" s="3"/>
    </row>
    <row r="32" spans="1:4" ht="18.75" customHeight="1" x14ac:dyDescent="0.2">
      <c r="A32" s="59"/>
      <c r="B32" s="59"/>
      <c r="C32" s="59"/>
      <c r="D32" s="3"/>
    </row>
    <row r="33" spans="1:4" ht="18.75" customHeight="1" x14ac:dyDescent="0.2">
      <c r="A33" s="59"/>
      <c r="B33" s="59"/>
      <c r="C33" s="59"/>
      <c r="D33" s="3"/>
    </row>
    <row r="34" spans="1:4" ht="18.75" customHeight="1" x14ac:dyDescent="0.2">
      <c r="A34" s="59"/>
      <c r="B34" s="59"/>
      <c r="C34" s="59"/>
      <c r="D34" s="3"/>
    </row>
    <row r="35" spans="1:4" ht="18.75" customHeight="1" x14ac:dyDescent="0.2">
      <c r="A35" s="59"/>
      <c r="B35" s="59"/>
      <c r="C35" s="59"/>
      <c r="D35" s="3"/>
    </row>
    <row r="36" spans="1:4" ht="18.75" customHeight="1" x14ac:dyDescent="0.2">
      <c r="A36" s="59"/>
      <c r="B36" s="59"/>
      <c r="C36" s="59"/>
      <c r="D36" s="3"/>
    </row>
    <row r="37" spans="1:4" ht="18.75" customHeight="1" x14ac:dyDescent="0.2">
      <c r="A37" s="59"/>
      <c r="B37" s="59"/>
      <c r="C37" s="59"/>
      <c r="D37" s="3"/>
    </row>
    <row r="38" spans="1:4" ht="18.75" customHeight="1" x14ac:dyDescent="0.2">
      <c r="A38" s="59"/>
      <c r="B38" s="59"/>
      <c r="C38" s="59"/>
      <c r="D38" s="3"/>
    </row>
    <row r="39" spans="1:4" ht="18.75" customHeight="1" x14ac:dyDescent="0.2">
      <c r="A39" s="59"/>
      <c r="B39" s="59"/>
      <c r="C39" s="59"/>
      <c r="D39" s="3"/>
    </row>
    <row r="40" spans="1:4" ht="18" customHeight="1" x14ac:dyDescent="0.2">
      <c r="A40" s="59"/>
      <c r="B40" s="59"/>
      <c r="C40" s="59"/>
      <c r="D40" s="3"/>
    </row>
    <row r="41" spans="1:4" ht="18.75" customHeight="1" x14ac:dyDescent="0.2">
      <c r="A41" s="59"/>
      <c r="B41" s="59"/>
      <c r="C41" s="59"/>
      <c r="D41" s="3"/>
    </row>
    <row r="42" spans="1:4" ht="18.75" customHeight="1" x14ac:dyDescent="0.2">
      <c r="A42" s="59"/>
      <c r="B42" s="59"/>
      <c r="C42" s="59"/>
      <c r="D42" s="3"/>
    </row>
    <row r="43" spans="1:4" ht="18.75" customHeight="1" x14ac:dyDescent="0.2">
      <c r="A43" s="59"/>
      <c r="B43" s="59"/>
      <c r="C43" s="59"/>
      <c r="D43" s="3"/>
    </row>
    <row r="44" spans="1:4" ht="18.75" customHeight="1" x14ac:dyDescent="0.2">
      <c r="A44" s="59"/>
      <c r="B44" s="59"/>
      <c r="C44" s="59"/>
      <c r="D44" s="3"/>
    </row>
    <row r="45" spans="1:4" ht="18.75" customHeight="1" x14ac:dyDescent="0.2">
      <c r="A45" s="59"/>
      <c r="B45" s="59"/>
      <c r="C45" s="59"/>
      <c r="D45" s="3"/>
    </row>
    <row r="46" spans="1:4" ht="18.75" customHeight="1" x14ac:dyDescent="0.2">
      <c r="A46" s="59"/>
      <c r="B46" s="59"/>
      <c r="C46" s="59"/>
      <c r="D46" s="3"/>
    </row>
    <row r="47" spans="1:4" ht="18.75" customHeight="1" x14ac:dyDescent="0.2">
      <c r="A47" s="59"/>
      <c r="B47" s="59"/>
      <c r="C47" s="59"/>
      <c r="D47" s="3"/>
    </row>
    <row r="48" spans="1:4" ht="18.75" customHeight="1" x14ac:dyDescent="0.2">
      <c r="A48" s="59"/>
      <c r="B48" s="59"/>
      <c r="C48" s="59"/>
      <c r="D48" s="3"/>
    </row>
    <row r="49" spans="1:6" ht="18.75" customHeight="1" x14ac:dyDescent="0.2">
      <c r="A49" s="59"/>
      <c r="B49" s="59"/>
      <c r="C49" s="59"/>
      <c r="D49" s="3"/>
    </row>
    <row r="50" spans="1:6" ht="15" customHeight="1" x14ac:dyDescent="0.2">
      <c r="A50" s="59"/>
      <c r="B50" s="59"/>
      <c r="C50" s="59"/>
      <c r="D50" s="3"/>
    </row>
    <row r="51" spans="1:6" ht="15" customHeight="1" x14ac:dyDescent="0.2">
      <c r="A51" s="59"/>
      <c r="B51" s="59"/>
      <c r="C51" s="59"/>
      <c r="D51" s="3"/>
    </row>
    <row r="52" spans="1:6" ht="15" customHeight="1" x14ac:dyDescent="0.2">
      <c r="A52" s="59"/>
      <c r="B52" s="59"/>
      <c r="C52" s="59"/>
      <c r="D52" s="3"/>
    </row>
    <row r="53" spans="1:6" ht="15" customHeight="1" x14ac:dyDescent="0.2">
      <c r="A53" s="59"/>
      <c r="B53" s="59"/>
      <c r="C53" s="59"/>
      <c r="D53" s="3"/>
    </row>
    <row r="54" spans="1:6" ht="15" customHeight="1" x14ac:dyDescent="0.2">
      <c r="A54" s="57"/>
      <c r="B54" s="57"/>
      <c r="C54" s="57"/>
      <c r="D54" s="3"/>
    </row>
    <row r="55" spans="1:6" ht="15" customHeight="1" x14ac:dyDescent="0.2">
      <c r="A55" s="57"/>
      <c r="B55" s="57"/>
      <c r="C55" s="57"/>
      <c r="D55" s="3"/>
    </row>
    <row r="56" spans="1:6" ht="15" customHeight="1" x14ac:dyDescent="0.15">
      <c r="A56" s="57"/>
      <c r="B56" s="57"/>
      <c r="C56" s="57"/>
      <c r="D56" s="57"/>
      <c r="E56" s="57"/>
      <c r="F56" s="57"/>
    </row>
    <row r="57" spans="1:6" ht="15" customHeight="1" x14ac:dyDescent="0.15">
      <c r="D57" s="1"/>
    </row>
    <row r="58" spans="1:6" x14ac:dyDescent="0.15">
      <c r="D58" s="1"/>
    </row>
    <row r="59" spans="1:6" x14ac:dyDescent="0.15">
      <c r="D59" s="1"/>
    </row>
    <row r="60" spans="1:6" x14ac:dyDescent="0.15">
      <c r="D60" s="1"/>
    </row>
    <row r="61" spans="1:6" x14ac:dyDescent="0.15">
      <c r="D61" s="1"/>
    </row>
    <row r="62" spans="1:6" x14ac:dyDescent="0.15">
      <c r="D62" s="1"/>
    </row>
    <row r="63" spans="1:6" x14ac:dyDescent="0.15">
      <c r="D63" s="1"/>
    </row>
    <row r="64" spans="1:6" x14ac:dyDescent="0.15">
      <c r="D64" s="1"/>
    </row>
    <row r="65" s="1" customFormat="1" x14ac:dyDescent="0.15"/>
    <row r="66" s="1" customFormat="1" x14ac:dyDescent="0.15"/>
    <row r="67" s="1" customFormat="1" x14ac:dyDescent="0.15"/>
    <row r="68" s="1" customFormat="1" x14ac:dyDescent="0.15"/>
    <row r="69" s="1" customFormat="1" x14ac:dyDescent="0.15"/>
    <row r="70" s="1" customFormat="1" x14ac:dyDescent="0.15"/>
    <row r="71" s="1" customFormat="1" x14ac:dyDescent="0.15"/>
    <row r="72" s="1" customFormat="1" x14ac:dyDescent="0.15"/>
    <row r="73" s="1" customFormat="1" x14ac:dyDescent="0.15"/>
    <row r="74" s="1" customFormat="1" x14ac:dyDescent="0.15"/>
    <row r="75" s="1" customFormat="1" x14ac:dyDescent="0.15"/>
    <row r="76" s="1" customFormat="1" x14ac:dyDescent="0.15"/>
    <row r="77" s="1" customFormat="1" x14ac:dyDescent="0.15"/>
    <row r="78" s="1" customFormat="1" x14ac:dyDescent="0.15"/>
    <row r="79" s="1" customFormat="1" x14ac:dyDescent="0.15"/>
    <row r="80" s="1" customFormat="1" x14ac:dyDescent="0.15"/>
    <row r="81" s="1" customFormat="1" x14ac:dyDescent="0.15"/>
    <row r="82" s="1" customFormat="1" x14ac:dyDescent="0.15"/>
    <row r="83" s="1" customFormat="1" x14ac:dyDescent="0.15"/>
  </sheetData>
  <pageMargins left="0.23622047244094491" right="0.23622047244094491" top="0.74803149606299213" bottom="0.74803149606299213" header="0.31496062992125984" footer="0.31496062992125984"/>
  <pageSetup scale="67" orientation="portrait" horizontalDpi="4294967293" verticalDpi="72" r:id="rId1"/>
  <headerFooter>
    <oddFooter>Page &amp;P of 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2"/>
  <sheetViews>
    <sheetView tabSelected="1" workbookViewId="0">
      <selection activeCell="E18" sqref="E18"/>
    </sheetView>
  </sheetViews>
  <sheetFormatPr baseColWidth="10" defaultRowHeight="12" x14ac:dyDescent="0.2"/>
  <cols>
    <col min="1" max="1" width="7.28515625" style="4" customWidth="1"/>
    <col min="2" max="2" width="13.140625" style="4" customWidth="1"/>
    <col min="3" max="3" width="12.42578125" style="4" customWidth="1"/>
    <col min="4" max="4" width="10.140625" style="4" customWidth="1"/>
    <col min="5" max="5" width="8.85546875" style="5" customWidth="1"/>
    <col min="6" max="6" width="8.7109375" style="5" customWidth="1"/>
    <col min="7" max="7" width="10.28515625" style="4" customWidth="1"/>
    <col min="8" max="8" width="10" style="4" customWidth="1"/>
    <col min="9" max="9" width="10.140625" style="4" customWidth="1"/>
    <col min="10" max="10" width="11.140625" style="4" bestFit="1" customWidth="1"/>
    <col min="11" max="11" width="11.140625" style="4" customWidth="1"/>
    <col min="12" max="12" width="8.85546875" style="4" customWidth="1"/>
    <col min="13" max="14" width="10.5703125" style="4" customWidth="1"/>
    <col min="15" max="15" width="13.28515625" style="4" customWidth="1"/>
    <col min="16" max="16" width="11.42578125" style="56" customWidth="1"/>
    <col min="17" max="17" width="10.140625" style="4" customWidth="1"/>
    <col min="18" max="18" width="11.140625" style="4" customWidth="1"/>
    <col min="19" max="19" width="11.7109375" style="4" customWidth="1"/>
    <col min="20" max="20" width="3.140625" style="4" customWidth="1"/>
    <col min="21" max="16384" width="11.42578125" style="4"/>
  </cols>
  <sheetData>
    <row r="1" spans="1:21" x14ac:dyDescent="0.2">
      <c r="A1" s="4" t="s">
        <v>38</v>
      </c>
      <c r="P1" s="4"/>
      <c r="Q1" s="60"/>
      <c r="R1" s="60"/>
      <c r="S1" s="60"/>
    </row>
    <row r="2" spans="1:21" x14ac:dyDescent="0.2">
      <c r="A2" s="4" t="s">
        <v>61</v>
      </c>
      <c r="P2" s="4"/>
      <c r="Q2" s="65" t="s">
        <v>3</v>
      </c>
      <c r="R2" s="61" t="s">
        <v>4</v>
      </c>
      <c r="S2" s="61" t="s">
        <v>5</v>
      </c>
    </row>
    <row r="3" spans="1:21" x14ac:dyDescent="0.2">
      <c r="A3" s="4" t="s">
        <v>0</v>
      </c>
      <c r="F3" s="6"/>
      <c r="P3" s="7"/>
      <c r="Q3" s="65"/>
      <c r="R3" s="62">
        <v>0.5625</v>
      </c>
      <c r="S3" s="63">
        <v>0.89583333333333337</v>
      </c>
    </row>
    <row r="4" spans="1:21" x14ac:dyDescent="0.2">
      <c r="A4" s="8"/>
      <c r="P4" s="4"/>
      <c r="Q4" s="60"/>
      <c r="R4" s="60"/>
      <c r="S4" s="60"/>
    </row>
    <row r="5" spans="1:21" ht="15.75" customHeight="1" thickBot="1" x14ac:dyDescent="0.25">
      <c r="A5" s="8"/>
      <c r="P5" s="4"/>
    </row>
    <row r="6" spans="1:21" ht="12.75" customHeight="1" thickBot="1" x14ac:dyDescent="0.25">
      <c r="A6" s="66" t="s">
        <v>6</v>
      </c>
      <c r="B6" s="66" t="s">
        <v>7</v>
      </c>
      <c r="C6" s="66" t="s">
        <v>1</v>
      </c>
      <c r="D6" s="66" t="s">
        <v>2</v>
      </c>
      <c r="E6" s="67" t="s">
        <v>8</v>
      </c>
      <c r="F6" s="68" t="s">
        <v>9</v>
      </c>
      <c r="G6" s="69" t="s">
        <v>10</v>
      </c>
      <c r="H6" s="70"/>
      <c r="I6" s="70"/>
      <c r="J6" s="70"/>
      <c r="K6" s="70"/>
      <c r="L6" s="71"/>
      <c r="M6" s="72" t="s">
        <v>11</v>
      </c>
      <c r="N6" s="72"/>
      <c r="O6" s="72"/>
      <c r="P6" s="72"/>
      <c r="Q6" s="72"/>
      <c r="R6" s="72"/>
      <c r="S6" s="73"/>
    </row>
    <row r="7" spans="1:21" ht="48" x14ac:dyDescent="0.2">
      <c r="A7" s="66"/>
      <c r="B7" s="66"/>
      <c r="C7" s="66"/>
      <c r="D7" s="66"/>
      <c r="E7" s="67"/>
      <c r="F7" s="68"/>
      <c r="G7" s="9" t="s">
        <v>1</v>
      </c>
      <c r="H7" s="10" t="s">
        <v>2</v>
      </c>
      <c r="I7" s="10" t="s">
        <v>12</v>
      </c>
      <c r="J7" s="10" t="s">
        <v>13</v>
      </c>
      <c r="K7" s="10" t="s">
        <v>2</v>
      </c>
      <c r="L7" s="11" t="s">
        <v>12</v>
      </c>
      <c r="M7" s="12" t="s">
        <v>14</v>
      </c>
      <c r="N7" s="12" t="s">
        <v>15</v>
      </c>
      <c r="O7" s="13" t="s">
        <v>16</v>
      </c>
      <c r="P7" s="13" t="s">
        <v>17</v>
      </c>
      <c r="Q7" s="13" t="s">
        <v>15</v>
      </c>
      <c r="R7" s="13" t="s">
        <v>18</v>
      </c>
      <c r="S7" s="13" t="s">
        <v>19</v>
      </c>
    </row>
    <row r="8" spans="1:21" ht="13.5" customHeight="1" x14ac:dyDescent="0.25">
      <c r="A8" s="14" t="s">
        <v>20</v>
      </c>
      <c r="B8" s="15">
        <v>46174</v>
      </c>
      <c r="C8" s="16">
        <v>0.52083333333333337</v>
      </c>
      <c r="D8" s="16">
        <v>0.85416666666666663</v>
      </c>
      <c r="E8" s="17">
        <v>0.52500000000000002</v>
      </c>
      <c r="F8" s="18">
        <v>0.86527777777777781</v>
      </c>
      <c r="G8" s="19">
        <f t="shared" ref="G8:G13" si="0">IF(C8-E8&gt;0,+C8-E8,0)</f>
        <v>0</v>
      </c>
      <c r="H8" s="19">
        <f t="shared" ref="H8:H13" si="1">IF(F8-D8&gt;0,+F8-D8,0)</f>
        <v>1.1111111111111183E-2</v>
      </c>
      <c r="I8" s="19">
        <f t="shared" ref="I8:I13" si="2">SUM(G8:H8)</f>
        <v>1.1111111111111183E-2</v>
      </c>
      <c r="J8" s="19">
        <f t="shared" ref="J8:J13" si="3">IF(C8-E8&lt;0,+(+C8-E8)*-1,0)</f>
        <v>4.1666666666666519E-3</v>
      </c>
      <c r="K8" s="19">
        <f t="shared" ref="K8:K13" si="4">IF(F8-D8&lt;0,+(+F8-D8)*-1,0)</f>
        <v>0</v>
      </c>
      <c r="L8" s="20">
        <f t="shared" ref="L8:L13" si="5">+J8+K8</f>
        <v>4.1666666666666519E-3</v>
      </c>
      <c r="M8" s="21">
        <v>0.79166666666666663</v>
      </c>
      <c r="N8" s="21">
        <v>0.33333333333333331</v>
      </c>
      <c r="O8" s="22">
        <f t="shared" ref="O8:O12" si="6">+F8-M8</f>
        <v>7.3611111111111183E-2</v>
      </c>
      <c r="P8" s="22">
        <f t="shared" ref="P8:P13" si="7">+F8-E8</f>
        <v>0.34027777777777779</v>
      </c>
      <c r="Q8" s="22">
        <v>0.33333333333333331</v>
      </c>
      <c r="R8" s="22">
        <f t="shared" ref="R8:R12" si="8">IF(P8-Q8&gt;0,(P8-Q8),0)</f>
        <v>6.9444444444444753E-3</v>
      </c>
      <c r="S8" s="22"/>
      <c r="T8" s="23"/>
      <c r="U8" s="7"/>
    </row>
    <row r="9" spans="1:21" ht="13.5" customHeight="1" x14ac:dyDescent="0.25">
      <c r="A9" s="14" t="s">
        <v>20</v>
      </c>
      <c r="B9" s="15">
        <v>46175</v>
      </c>
      <c r="C9" s="16">
        <v>0.52083333333333337</v>
      </c>
      <c r="D9" s="16">
        <v>0.85416666666666663</v>
      </c>
      <c r="E9" s="17">
        <v>0.52777777777777779</v>
      </c>
      <c r="F9" s="18">
        <v>0.86041666666666672</v>
      </c>
      <c r="G9" s="19">
        <f t="shared" si="0"/>
        <v>0</v>
      </c>
      <c r="H9" s="19">
        <f t="shared" si="1"/>
        <v>6.2500000000000888E-3</v>
      </c>
      <c r="I9" s="19">
        <f t="shared" si="2"/>
        <v>6.2500000000000888E-3</v>
      </c>
      <c r="J9" s="19">
        <f t="shared" si="3"/>
        <v>6.9444444444444198E-3</v>
      </c>
      <c r="K9" s="19">
        <f t="shared" si="4"/>
        <v>0</v>
      </c>
      <c r="L9" s="20">
        <f t="shared" si="5"/>
        <v>6.9444444444444198E-3</v>
      </c>
      <c r="M9" s="21">
        <v>0.79166666666666663</v>
      </c>
      <c r="N9" s="21">
        <v>0.33333333333333331</v>
      </c>
      <c r="O9" s="22">
        <f t="shared" si="6"/>
        <v>6.8750000000000089E-2</v>
      </c>
      <c r="P9" s="22">
        <f t="shared" si="7"/>
        <v>0.33263888888888893</v>
      </c>
      <c r="Q9" s="22">
        <v>0.33333333333333331</v>
      </c>
      <c r="R9" s="22">
        <f t="shared" si="8"/>
        <v>0</v>
      </c>
      <c r="S9" s="22"/>
      <c r="T9" s="23"/>
    </row>
    <row r="10" spans="1:21" ht="13.5" customHeight="1" x14ac:dyDescent="0.25">
      <c r="A10" s="14" t="s">
        <v>20</v>
      </c>
      <c r="B10" s="15">
        <v>46176</v>
      </c>
      <c r="C10" s="16">
        <v>0.52083333333333337</v>
      </c>
      <c r="D10" s="16">
        <v>0.85416666666666663</v>
      </c>
      <c r="E10" s="17">
        <v>0.52916666666666667</v>
      </c>
      <c r="F10" s="18">
        <v>0.86250000000000004</v>
      </c>
      <c r="G10" s="19">
        <f t="shared" si="0"/>
        <v>0</v>
      </c>
      <c r="H10" s="19">
        <f t="shared" si="1"/>
        <v>8.3333333333334147E-3</v>
      </c>
      <c r="I10" s="19">
        <f t="shared" si="2"/>
        <v>8.3333333333334147E-3</v>
      </c>
      <c r="J10" s="19">
        <f t="shared" si="3"/>
        <v>8.3333333333333037E-3</v>
      </c>
      <c r="K10" s="19">
        <f t="shared" si="4"/>
        <v>0</v>
      </c>
      <c r="L10" s="20">
        <f t="shared" si="5"/>
        <v>8.3333333333333037E-3</v>
      </c>
      <c r="M10" s="21">
        <v>0.79166666666666663</v>
      </c>
      <c r="N10" s="21">
        <v>0.33333333333333331</v>
      </c>
      <c r="O10" s="22">
        <f t="shared" si="6"/>
        <v>7.0833333333333415E-2</v>
      </c>
      <c r="P10" s="22">
        <f t="shared" si="7"/>
        <v>0.33333333333333337</v>
      </c>
      <c r="Q10" s="22">
        <v>0.33333333333333331</v>
      </c>
      <c r="R10" s="22">
        <f t="shared" si="8"/>
        <v>5.5511151231257827E-17</v>
      </c>
      <c r="S10" s="22"/>
      <c r="T10" s="23"/>
    </row>
    <row r="11" spans="1:21" ht="13.5" customHeight="1" x14ac:dyDescent="0.25">
      <c r="A11" s="14" t="s">
        <v>20</v>
      </c>
      <c r="B11" s="15">
        <v>46177</v>
      </c>
      <c r="C11" s="16">
        <v>0.52083333333333337</v>
      </c>
      <c r="D11" s="16">
        <v>0.85416666666666663</v>
      </c>
      <c r="E11" s="17">
        <v>0.51597222222222228</v>
      </c>
      <c r="F11" s="18">
        <v>0.86041666666666672</v>
      </c>
      <c r="G11" s="19">
        <f t="shared" si="0"/>
        <v>4.8611111111110938E-3</v>
      </c>
      <c r="H11" s="19">
        <f t="shared" si="1"/>
        <v>6.2500000000000888E-3</v>
      </c>
      <c r="I11" s="19">
        <f t="shared" si="2"/>
        <v>1.1111111111111183E-2</v>
      </c>
      <c r="J11" s="19">
        <f t="shared" si="3"/>
        <v>0</v>
      </c>
      <c r="K11" s="19">
        <f t="shared" si="4"/>
        <v>0</v>
      </c>
      <c r="L11" s="20">
        <f t="shared" si="5"/>
        <v>0</v>
      </c>
      <c r="M11" s="21">
        <v>0.79166666666666663</v>
      </c>
      <c r="N11" s="21">
        <v>0.33333333333333331</v>
      </c>
      <c r="O11" s="22">
        <f t="shared" si="6"/>
        <v>6.8750000000000089E-2</v>
      </c>
      <c r="P11" s="22">
        <f t="shared" si="7"/>
        <v>0.34444444444444444</v>
      </c>
      <c r="Q11" s="22">
        <v>0.33333333333333331</v>
      </c>
      <c r="R11" s="22">
        <f t="shared" si="8"/>
        <v>1.1111111111111127E-2</v>
      </c>
      <c r="S11" s="22"/>
      <c r="T11" s="23"/>
    </row>
    <row r="12" spans="1:21" ht="13.5" customHeight="1" x14ac:dyDescent="0.25">
      <c r="A12" s="14" t="s">
        <v>20</v>
      </c>
      <c r="B12" s="15">
        <v>46178</v>
      </c>
      <c r="C12" s="16">
        <v>0.52083333333333337</v>
      </c>
      <c r="D12" s="16">
        <v>0.85416666666666663</v>
      </c>
      <c r="E12" s="17">
        <v>0.52500000000000002</v>
      </c>
      <c r="F12" s="18">
        <v>0.85972222222222228</v>
      </c>
      <c r="G12" s="19">
        <f t="shared" si="0"/>
        <v>0</v>
      </c>
      <c r="H12" s="19">
        <f t="shared" si="1"/>
        <v>5.5555555555556468E-3</v>
      </c>
      <c r="I12" s="19">
        <f t="shared" si="2"/>
        <v>5.5555555555556468E-3</v>
      </c>
      <c r="J12" s="19">
        <f t="shared" si="3"/>
        <v>4.1666666666666519E-3</v>
      </c>
      <c r="K12" s="19">
        <f t="shared" si="4"/>
        <v>0</v>
      </c>
      <c r="L12" s="20">
        <f t="shared" si="5"/>
        <v>4.1666666666666519E-3</v>
      </c>
      <c r="M12" s="21">
        <v>0.79166666666666663</v>
      </c>
      <c r="N12" s="21">
        <v>0.33333333333333331</v>
      </c>
      <c r="O12" s="22">
        <f t="shared" si="6"/>
        <v>6.8055555555555647E-2</v>
      </c>
      <c r="P12" s="22">
        <f t="shared" si="7"/>
        <v>0.33472222222222225</v>
      </c>
      <c r="Q12" s="22">
        <v>0.33333333333333331</v>
      </c>
      <c r="R12" s="22">
        <f t="shared" si="8"/>
        <v>1.3888888888889395E-3</v>
      </c>
      <c r="S12" s="22"/>
      <c r="T12" s="23"/>
    </row>
    <row r="13" spans="1:21" ht="13.5" customHeight="1" x14ac:dyDescent="0.25">
      <c r="A13" s="24" t="s">
        <v>20</v>
      </c>
      <c r="B13" s="25">
        <v>46179</v>
      </c>
      <c r="C13" s="26">
        <v>0.5625</v>
      </c>
      <c r="D13" s="26">
        <v>0.85416666666666663</v>
      </c>
      <c r="E13" s="27">
        <v>0.52152777777777781</v>
      </c>
      <c r="F13" s="27">
        <v>0.84444444444444444</v>
      </c>
      <c r="G13" s="28">
        <f t="shared" si="0"/>
        <v>4.0972222222222188E-2</v>
      </c>
      <c r="H13" s="28">
        <f t="shared" si="1"/>
        <v>0</v>
      </c>
      <c r="I13" s="28">
        <f t="shared" si="2"/>
        <v>4.0972222222222188E-2</v>
      </c>
      <c r="J13" s="28">
        <f t="shared" si="3"/>
        <v>0</v>
      </c>
      <c r="K13" s="28">
        <f t="shared" si="4"/>
        <v>9.7222222222221877E-3</v>
      </c>
      <c r="L13" s="29">
        <f t="shared" si="5"/>
        <v>9.7222222222221877E-3</v>
      </c>
      <c r="M13" s="30"/>
      <c r="N13" s="30"/>
      <c r="O13" s="31"/>
      <c r="P13" s="31">
        <f t="shared" si="7"/>
        <v>0.32291666666666663</v>
      </c>
      <c r="Q13" s="31"/>
      <c r="R13" s="31"/>
      <c r="S13" s="31">
        <f>+F13-E13</f>
        <v>0.32291666666666663</v>
      </c>
      <c r="T13" s="23"/>
      <c r="U13" s="7"/>
    </row>
    <row r="14" spans="1:21" ht="13.5" customHeight="1" x14ac:dyDescent="0.25">
      <c r="A14" s="14" t="s">
        <v>20</v>
      </c>
      <c r="B14" s="15">
        <v>46181</v>
      </c>
      <c r="C14" s="16">
        <v>0.52083333333333337</v>
      </c>
      <c r="D14" s="16">
        <v>0.85416666666666663</v>
      </c>
      <c r="E14" s="17">
        <v>0.51597222222222228</v>
      </c>
      <c r="F14" s="18">
        <v>0.86041666666666672</v>
      </c>
      <c r="G14" s="19">
        <f t="shared" ref="G14:G15" si="9">IF(C14-E14&gt;0,+C14-E14,0)</f>
        <v>4.8611111111110938E-3</v>
      </c>
      <c r="H14" s="19">
        <f t="shared" ref="H14:H15" si="10">IF(F14-D14&gt;0,+F14-D14,0)</f>
        <v>6.2500000000000888E-3</v>
      </c>
      <c r="I14" s="19">
        <f t="shared" ref="I14:I15" si="11">SUM(G14:H14)</f>
        <v>1.1111111111111183E-2</v>
      </c>
      <c r="J14" s="19">
        <f t="shared" ref="J14:J15" si="12">IF(C14-E14&lt;0,+(+C14-E14)*-1,0)</f>
        <v>0</v>
      </c>
      <c r="K14" s="19">
        <f t="shared" ref="K14:K15" si="13">IF(F14-D14&lt;0,+(+F14-D14)*-1,0)</f>
        <v>0</v>
      </c>
      <c r="L14" s="20">
        <f t="shared" ref="L14:L15" si="14">+J14+K14</f>
        <v>0</v>
      </c>
      <c r="M14" s="21">
        <v>0.79166666666666663</v>
      </c>
      <c r="N14" s="21">
        <v>0.33333333333333331</v>
      </c>
      <c r="O14" s="22">
        <f t="shared" ref="O14:O15" si="15">+F14-M14</f>
        <v>6.8750000000000089E-2</v>
      </c>
      <c r="P14" s="22">
        <f t="shared" ref="P14:P15" si="16">+F14-E14</f>
        <v>0.34444444444444444</v>
      </c>
      <c r="Q14" s="22">
        <v>0.33333333333333331</v>
      </c>
      <c r="R14" s="22">
        <f t="shared" ref="R14:R15" si="17">IF(P14-Q14&gt;0,(P14-Q14),0)</f>
        <v>1.1111111111111127E-2</v>
      </c>
      <c r="S14" s="22"/>
      <c r="T14" s="23"/>
    </row>
    <row r="15" spans="1:21" ht="13.5" customHeight="1" x14ac:dyDescent="0.25">
      <c r="A15" s="14" t="s">
        <v>20</v>
      </c>
      <c r="B15" s="15">
        <v>46182</v>
      </c>
      <c r="C15" s="16">
        <v>0.52083333333333337</v>
      </c>
      <c r="D15" s="16">
        <v>0.85416666666666663</v>
      </c>
      <c r="E15" s="17">
        <v>0.51736111111111116</v>
      </c>
      <c r="F15" s="18">
        <v>0.86250000000000004</v>
      </c>
      <c r="G15" s="19">
        <f t="shared" si="9"/>
        <v>3.4722222222222099E-3</v>
      </c>
      <c r="H15" s="19">
        <f t="shared" si="10"/>
        <v>8.3333333333334147E-3</v>
      </c>
      <c r="I15" s="19">
        <f t="shared" si="11"/>
        <v>1.1805555555555625E-2</v>
      </c>
      <c r="J15" s="19">
        <f t="shared" si="12"/>
        <v>0</v>
      </c>
      <c r="K15" s="19">
        <f t="shared" si="13"/>
        <v>0</v>
      </c>
      <c r="L15" s="20">
        <f t="shared" si="14"/>
        <v>0</v>
      </c>
      <c r="M15" s="21">
        <v>0.79166666666666663</v>
      </c>
      <c r="N15" s="21">
        <v>0.33333333333333331</v>
      </c>
      <c r="O15" s="22">
        <f t="shared" si="15"/>
        <v>7.0833333333333415E-2</v>
      </c>
      <c r="P15" s="22">
        <f t="shared" si="16"/>
        <v>0.34513888888888888</v>
      </c>
      <c r="Q15" s="22">
        <v>0.33333333333333331</v>
      </c>
      <c r="R15" s="22">
        <f t="shared" si="17"/>
        <v>1.1805555555555569E-2</v>
      </c>
      <c r="S15" s="22"/>
      <c r="T15" s="23"/>
    </row>
    <row r="16" spans="1:21" ht="13.5" customHeight="1" x14ac:dyDescent="0.25">
      <c r="A16" s="14" t="s">
        <v>20</v>
      </c>
      <c r="B16" s="15">
        <v>46183</v>
      </c>
      <c r="C16" s="16">
        <v>0.52083333333333337</v>
      </c>
      <c r="D16" s="16">
        <v>0.85416666666666663</v>
      </c>
      <c r="E16" s="17">
        <v>0.52361111111111114</v>
      </c>
      <c r="F16" s="18">
        <v>0.86250000000000004</v>
      </c>
      <c r="G16" s="19">
        <f t="shared" ref="G16:G19" si="18">IF(C16-E16&gt;0,+C16-E16,0)</f>
        <v>0</v>
      </c>
      <c r="H16" s="19">
        <f t="shared" ref="H16:H19" si="19">IF(F16-D16&gt;0,+F16-D16,0)</f>
        <v>8.3333333333334147E-3</v>
      </c>
      <c r="I16" s="19">
        <f t="shared" ref="I16:I19" si="20">SUM(G16:H16)</f>
        <v>8.3333333333334147E-3</v>
      </c>
      <c r="J16" s="19">
        <f t="shared" ref="J16:J19" si="21">IF(C16-E16&lt;0,+(+C16-E16)*-1,0)</f>
        <v>2.7777777777777679E-3</v>
      </c>
      <c r="K16" s="19">
        <f t="shared" ref="K16:K19" si="22">IF(F16-D16&lt;0,+(+F16-D16)*-1,0)</f>
        <v>0</v>
      </c>
      <c r="L16" s="20">
        <f t="shared" ref="L16:L19" si="23">+J16+K16</f>
        <v>2.7777777777777679E-3</v>
      </c>
      <c r="M16" s="21">
        <v>0.79166666666666663</v>
      </c>
      <c r="N16" s="21">
        <v>0.33333333333333331</v>
      </c>
      <c r="O16" s="22">
        <f t="shared" ref="O16:O18" si="24">+F16-M16</f>
        <v>7.0833333333333415E-2</v>
      </c>
      <c r="P16" s="22">
        <f t="shared" ref="P16:P19" si="25">+F16-E16</f>
        <v>0.33888888888888891</v>
      </c>
      <c r="Q16" s="22">
        <v>0.33333333333333331</v>
      </c>
      <c r="R16" s="22">
        <f t="shared" ref="R16:R18" si="26">IF(P16-Q16&gt;0,(P16-Q16),0)</f>
        <v>5.5555555555555913E-3</v>
      </c>
      <c r="S16" s="22"/>
      <c r="T16" s="23"/>
    </row>
    <row r="17" spans="1:21" ht="13.5" customHeight="1" x14ac:dyDescent="0.25">
      <c r="A17" s="14" t="s">
        <v>20</v>
      </c>
      <c r="B17" s="15">
        <v>46184</v>
      </c>
      <c r="C17" s="16">
        <v>0.52083333333333337</v>
      </c>
      <c r="D17" s="16">
        <v>0.85416666666666663</v>
      </c>
      <c r="E17" s="17">
        <v>0.5131944444444444</v>
      </c>
      <c r="F17" s="18">
        <v>0.86250000000000004</v>
      </c>
      <c r="G17" s="19">
        <f t="shared" si="18"/>
        <v>7.6388888888889728E-3</v>
      </c>
      <c r="H17" s="19">
        <f t="shared" si="19"/>
        <v>8.3333333333334147E-3</v>
      </c>
      <c r="I17" s="19">
        <f t="shared" si="20"/>
        <v>1.5972222222222388E-2</v>
      </c>
      <c r="J17" s="19">
        <f t="shared" si="21"/>
        <v>0</v>
      </c>
      <c r="K17" s="19">
        <f t="shared" si="22"/>
        <v>0</v>
      </c>
      <c r="L17" s="20">
        <f t="shared" si="23"/>
        <v>0</v>
      </c>
      <c r="M17" s="21">
        <v>0.79166666666666663</v>
      </c>
      <c r="N17" s="21">
        <v>0.33333333333333331</v>
      </c>
      <c r="O17" s="22">
        <f t="shared" si="24"/>
        <v>7.0833333333333415E-2</v>
      </c>
      <c r="P17" s="22">
        <f t="shared" si="25"/>
        <v>0.34930555555555565</v>
      </c>
      <c r="Q17" s="22">
        <v>0.33333333333333331</v>
      </c>
      <c r="R17" s="22">
        <f t="shared" si="26"/>
        <v>1.5972222222222332E-2</v>
      </c>
      <c r="S17" s="22"/>
      <c r="T17" s="23"/>
    </row>
    <row r="18" spans="1:21" ht="13.5" customHeight="1" x14ac:dyDescent="0.25">
      <c r="A18" s="14" t="s">
        <v>20</v>
      </c>
      <c r="B18" s="15">
        <v>46185</v>
      </c>
      <c r="C18" s="16">
        <v>0.52083333333333337</v>
      </c>
      <c r="D18" s="16">
        <v>0.85416666666666663</v>
      </c>
      <c r="E18" s="17"/>
      <c r="F18" s="18"/>
      <c r="G18" s="19">
        <f t="shared" si="18"/>
        <v>0.52083333333333337</v>
      </c>
      <c r="H18" s="19">
        <f t="shared" si="19"/>
        <v>0</v>
      </c>
      <c r="I18" s="19">
        <f t="shared" si="20"/>
        <v>0.52083333333333337</v>
      </c>
      <c r="J18" s="19">
        <f t="shared" si="21"/>
        <v>0</v>
      </c>
      <c r="K18" s="19">
        <f t="shared" si="22"/>
        <v>0.85416666666666663</v>
      </c>
      <c r="L18" s="20">
        <f t="shared" si="23"/>
        <v>0.85416666666666663</v>
      </c>
      <c r="M18" s="21">
        <v>0.79166666666666663</v>
      </c>
      <c r="N18" s="21">
        <v>0.33333333333333331</v>
      </c>
      <c r="O18" s="22">
        <f t="shared" si="24"/>
        <v>-0.79166666666666663</v>
      </c>
      <c r="P18" s="22">
        <f t="shared" si="25"/>
        <v>0</v>
      </c>
      <c r="Q18" s="22">
        <v>0.33333333333333331</v>
      </c>
      <c r="R18" s="22">
        <f t="shared" si="26"/>
        <v>0</v>
      </c>
      <c r="S18" s="22"/>
      <c r="T18" s="23"/>
    </row>
    <row r="19" spans="1:21" ht="13.5" customHeight="1" x14ac:dyDescent="0.25">
      <c r="A19" s="24" t="s">
        <v>20</v>
      </c>
      <c r="B19" s="25">
        <v>46186</v>
      </c>
      <c r="C19" s="26">
        <v>0.5625</v>
      </c>
      <c r="D19" s="26">
        <v>0.85416666666666663</v>
      </c>
      <c r="E19" s="27"/>
      <c r="F19" s="27"/>
      <c r="G19" s="28">
        <f t="shared" si="18"/>
        <v>0.5625</v>
      </c>
      <c r="H19" s="28">
        <f t="shared" si="19"/>
        <v>0</v>
      </c>
      <c r="I19" s="28">
        <f t="shared" si="20"/>
        <v>0.5625</v>
      </c>
      <c r="J19" s="28">
        <f t="shared" si="21"/>
        <v>0</v>
      </c>
      <c r="K19" s="28">
        <f t="shared" si="22"/>
        <v>0.85416666666666663</v>
      </c>
      <c r="L19" s="29">
        <f t="shared" si="23"/>
        <v>0.85416666666666663</v>
      </c>
      <c r="M19" s="30"/>
      <c r="N19" s="30"/>
      <c r="O19" s="31"/>
      <c r="P19" s="31">
        <f t="shared" si="25"/>
        <v>0</v>
      </c>
      <c r="Q19" s="31"/>
      <c r="R19" s="31"/>
      <c r="S19" s="31">
        <f>+F19-E19</f>
        <v>0</v>
      </c>
      <c r="T19" s="23"/>
      <c r="U19" s="7"/>
    </row>
    <row r="20" spans="1:21" ht="13.5" customHeight="1" x14ac:dyDescent="0.25">
      <c r="A20" s="14" t="s">
        <v>20</v>
      </c>
      <c r="B20" s="15">
        <v>46188</v>
      </c>
      <c r="C20" s="16">
        <v>0.52083333333333337</v>
      </c>
      <c r="D20" s="16">
        <v>0.85416666666666663</v>
      </c>
      <c r="E20" s="17"/>
      <c r="F20" s="18"/>
      <c r="G20" s="19">
        <f t="shared" ref="G20:G25" si="27">IF(C20-E20&gt;0,+C20-E20,0)</f>
        <v>0.52083333333333337</v>
      </c>
      <c r="H20" s="19">
        <f t="shared" ref="H20:H25" si="28">IF(F20-D20&gt;0,+F20-D20,0)</f>
        <v>0</v>
      </c>
      <c r="I20" s="19">
        <f t="shared" ref="I20:I25" si="29">SUM(G20:H20)</f>
        <v>0.52083333333333337</v>
      </c>
      <c r="J20" s="19">
        <f t="shared" ref="J20:J25" si="30">IF(C20-E20&lt;0,+(+C20-E20)*-1,0)</f>
        <v>0</v>
      </c>
      <c r="K20" s="19">
        <f t="shared" ref="K20:K25" si="31">IF(F20-D20&lt;0,+(+F20-D20)*-1,0)</f>
        <v>0.85416666666666663</v>
      </c>
      <c r="L20" s="20">
        <f t="shared" ref="L20:L25" si="32">+J20+K20</f>
        <v>0.85416666666666663</v>
      </c>
      <c r="M20" s="21">
        <v>0.79166666666666663</v>
      </c>
      <c r="N20" s="21">
        <v>0.33333333333333331</v>
      </c>
      <c r="O20" s="22">
        <f t="shared" ref="O20:O24" si="33">+F20-M20</f>
        <v>-0.79166666666666663</v>
      </c>
      <c r="P20" s="22">
        <f t="shared" ref="P20:P25" si="34">+F20-E20</f>
        <v>0</v>
      </c>
      <c r="Q20" s="22">
        <v>0.33333333333333331</v>
      </c>
      <c r="R20" s="22">
        <f t="shared" ref="R20:R24" si="35">IF(P20-Q20&gt;0,(P20-Q20),0)</f>
        <v>0</v>
      </c>
      <c r="S20" s="22"/>
      <c r="T20" s="23"/>
      <c r="U20" s="7"/>
    </row>
    <row r="21" spans="1:21" ht="13.5" customHeight="1" x14ac:dyDescent="0.25">
      <c r="A21" s="14" t="s">
        <v>20</v>
      </c>
      <c r="B21" s="15">
        <v>46189</v>
      </c>
      <c r="C21" s="16">
        <v>0.52083333333333337</v>
      </c>
      <c r="D21" s="16">
        <v>0.85416666666666663</v>
      </c>
      <c r="E21" s="17"/>
      <c r="F21" s="18"/>
      <c r="G21" s="19">
        <f t="shared" si="27"/>
        <v>0.52083333333333337</v>
      </c>
      <c r="H21" s="19">
        <f t="shared" si="28"/>
        <v>0</v>
      </c>
      <c r="I21" s="19">
        <f t="shared" si="29"/>
        <v>0.52083333333333337</v>
      </c>
      <c r="J21" s="19">
        <f t="shared" si="30"/>
        <v>0</v>
      </c>
      <c r="K21" s="19">
        <f t="shared" si="31"/>
        <v>0.85416666666666663</v>
      </c>
      <c r="L21" s="20">
        <f t="shared" si="32"/>
        <v>0.85416666666666663</v>
      </c>
      <c r="M21" s="21">
        <v>0.79166666666666663</v>
      </c>
      <c r="N21" s="21">
        <v>0.33333333333333331</v>
      </c>
      <c r="O21" s="22">
        <f t="shared" si="33"/>
        <v>-0.79166666666666663</v>
      </c>
      <c r="P21" s="22">
        <f t="shared" si="34"/>
        <v>0</v>
      </c>
      <c r="Q21" s="22">
        <v>0.33333333333333331</v>
      </c>
      <c r="R21" s="22">
        <f t="shared" si="35"/>
        <v>0</v>
      </c>
      <c r="S21" s="22"/>
      <c r="T21" s="23"/>
    </row>
    <row r="22" spans="1:21" ht="13.5" customHeight="1" x14ac:dyDescent="0.25">
      <c r="A22" s="14" t="s">
        <v>20</v>
      </c>
      <c r="B22" s="15">
        <v>46190</v>
      </c>
      <c r="C22" s="16">
        <v>0.52083333333333337</v>
      </c>
      <c r="D22" s="16">
        <v>0.85416666666666663</v>
      </c>
      <c r="E22" s="17"/>
      <c r="F22" s="18"/>
      <c r="G22" s="19">
        <f t="shared" si="27"/>
        <v>0.52083333333333337</v>
      </c>
      <c r="H22" s="19">
        <f t="shared" si="28"/>
        <v>0</v>
      </c>
      <c r="I22" s="19">
        <f t="shared" si="29"/>
        <v>0.52083333333333337</v>
      </c>
      <c r="J22" s="19">
        <f t="shared" si="30"/>
        <v>0</v>
      </c>
      <c r="K22" s="19">
        <f t="shared" si="31"/>
        <v>0.85416666666666663</v>
      </c>
      <c r="L22" s="20">
        <f t="shared" si="32"/>
        <v>0.85416666666666663</v>
      </c>
      <c r="M22" s="21">
        <v>0.79166666666666663</v>
      </c>
      <c r="N22" s="21">
        <v>0.33333333333333331</v>
      </c>
      <c r="O22" s="22">
        <f t="shared" si="33"/>
        <v>-0.79166666666666663</v>
      </c>
      <c r="P22" s="22">
        <f t="shared" si="34"/>
        <v>0</v>
      </c>
      <c r="Q22" s="22">
        <v>0.33333333333333331</v>
      </c>
      <c r="R22" s="22">
        <f t="shared" si="35"/>
        <v>0</v>
      </c>
      <c r="S22" s="22"/>
      <c r="T22" s="23"/>
    </row>
    <row r="23" spans="1:21" ht="13.5" customHeight="1" x14ac:dyDescent="0.25">
      <c r="A23" s="14" t="s">
        <v>20</v>
      </c>
      <c r="B23" s="15">
        <v>46191</v>
      </c>
      <c r="C23" s="16">
        <v>0.52083333333333337</v>
      </c>
      <c r="D23" s="16">
        <v>0.85416666666666663</v>
      </c>
      <c r="E23" s="17"/>
      <c r="F23" s="18"/>
      <c r="G23" s="19">
        <f t="shared" si="27"/>
        <v>0.52083333333333337</v>
      </c>
      <c r="H23" s="19">
        <f t="shared" si="28"/>
        <v>0</v>
      </c>
      <c r="I23" s="19">
        <f t="shared" si="29"/>
        <v>0.52083333333333337</v>
      </c>
      <c r="J23" s="19">
        <f t="shared" si="30"/>
        <v>0</v>
      </c>
      <c r="K23" s="19">
        <f t="shared" si="31"/>
        <v>0.85416666666666663</v>
      </c>
      <c r="L23" s="20">
        <f t="shared" si="32"/>
        <v>0.85416666666666663</v>
      </c>
      <c r="M23" s="21">
        <v>0.79166666666666663</v>
      </c>
      <c r="N23" s="21">
        <v>0.33333333333333331</v>
      </c>
      <c r="O23" s="22">
        <f t="shared" si="33"/>
        <v>-0.79166666666666663</v>
      </c>
      <c r="P23" s="22">
        <f t="shared" si="34"/>
        <v>0</v>
      </c>
      <c r="Q23" s="22">
        <v>0.33333333333333331</v>
      </c>
      <c r="R23" s="22">
        <f t="shared" si="35"/>
        <v>0</v>
      </c>
      <c r="S23" s="22"/>
      <c r="T23" s="23"/>
    </row>
    <row r="24" spans="1:21" ht="13.5" customHeight="1" x14ac:dyDescent="0.25">
      <c r="A24" s="14" t="s">
        <v>20</v>
      </c>
      <c r="B24" s="15">
        <v>46192</v>
      </c>
      <c r="C24" s="16">
        <v>0.52083333333333337</v>
      </c>
      <c r="D24" s="16">
        <v>0.85416666666666663</v>
      </c>
      <c r="E24" s="17"/>
      <c r="F24" s="18"/>
      <c r="G24" s="19">
        <f t="shared" si="27"/>
        <v>0.52083333333333337</v>
      </c>
      <c r="H24" s="19">
        <f t="shared" si="28"/>
        <v>0</v>
      </c>
      <c r="I24" s="19">
        <f t="shared" si="29"/>
        <v>0.52083333333333337</v>
      </c>
      <c r="J24" s="19">
        <f t="shared" si="30"/>
        <v>0</v>
      </c>
      <c r="K24" s="19">
        <f t="shared" si="31"/>
        <v>0.85416666666666663</v>
      </c>
      <c r="L24" s="20">
        <f t="shared" si="32"/>
        <v>0.85416666666666663</v>
      </c>
      <c r="M24" s="21">
        <v>0.79166666666666663</v>
      </c>
      <c r="N24" s="21">
        <v>0.33333333333333331</v>
      </c>
      <c r="O24" s="22">
        <f t="shared" si="33"/>
        <v>-0.79166666666666663</v>
      </c>
      <c r="P24" s="22">
        <f t="shared" si="34"/>
        <v>0</v>
      </c>
      <c r="Q24" s="22">
        <v>0.33333333333333331</v>
      </c>
      <c r="R24" s="22">
        <f t="shared" si="35"/>
        <v>0</v>
      </c>
      <c r="S24" s="22"/>
      <c r="T24" s="23"/>
    </row>
    <row r="25" spans="1:21" ht="13.5" customHeight="1" x14ac:dyDescent="0.25">
      <c r="A25" s="24" t="s">
        <v>20</v>
      </c>
      <c r="B25" s="25">
        <v>46193</v>
      </c>
      <c r="C25" s="26">
        <v>0.5625</v>
      </c>
      <c r="D25" s="26">
        <v>0.85416666666666663</v>
      </c>
      <c r="E25" s="27"/>
      <c r="F25" s="27"/>
      <c r="G25" s="28">
        <f t="shared" si="27"/>
        <v>0.5625</v>
      </c>
      <c r="H25" s="28">
        <f t="shared" si="28"/>
        <v>0</v>
      </c>
      <c r="I25" s="28">
        <f t="shared" si="29"/>
        <v>0.5625</v>
      </c>
      <c r="J25" s="28">
        <f t="shared" si="30"/>
        <v>0</v>
      </c>
      <c r="K25" s="28">
        <f t="shared" si="31"/>
        <v>0.85416666666666663</v>
      </c>
      <c r="L25" s="29">
        <f t="shared" si="32"/>
        <v>0.85416666666666663</v>
      </c>
      <c r="M25" s="30"/>
      <c r="N25" s="30"/>
      <c r="O25" s="31"/>
      <c r="P25" s="31">
        <f t="shared" si="34"/>
        <v>0</v>
      </c>
      <c r="Q25" s="31"/>
      <c r="R25" s="31"/>
      <c r="S25" s="31">
        <f t="shared" ref="S25" si="36">+F25-E25</f>
        <v>0</v>
      </c>
      <c r="T25" s="23"/>
      <c r="U25" s="7"/>
    </row>
    <row r="26" spans="1:21" ht="13.5" customHeight="1" x14ac:dyDescent="0.25">
      <c r="A26" s="14" t="s">
        <v>20</v>
      </c>
      <c r="B26" s="15">
        <v>46195</v>
      </c>
      <c r="C26" s="16">
        <v>0.52083333333333337</v>
      </c>
      <c r="D26" s="16">
        <v>0.85416666666666663</v>
      </c>
      <c r="E26" s="17"/>
      <c r="F26" s="18"/>
      <c r="G26" s="19">
        <f t="shared" ref="G26" si="37">IF(C26-E26&gt;0,+C26-E26,0)</f>
        <v>0.52083333333333337</v>
      </c>
      <c r="H26" s="19">
        <f t="shared" ref="H26" si="38">IF(F26-D26&gt;0,+F26-D26,0)</f>
        <v>0</v>
      </c>
      <c r="I26" s="19">
        <f t="shared" ref="I26" si="39">SUM(G26:H26)</f>
        <v>0.52083333333333337</v>
      </c>
      <c r="J26" s="19">
        <f t="shared" ref="J26" si="40">IF(C26-E26&lt;0,+(+C26-E26)*-1,0)</f>
        <v>0</v>
      </c>
      <c r="K26" s="19">
        <f t="shared" ref="K26" si="41">IF(F26-D26&lt;0,+(+F26-D26)*-1,0)</f>
        <v>0.85416666666666663</v>
      </c>
      <c r="L26" s="20">
        <f t="shared" ref="L26" si="42">+J26+K26</f>
        <v>0.85416666666666663</v>
      </c>
      <c r="M26" s="21">
        <v>0.79166666666666663</v>
      </c>
      <c r="N26" s="21">
        <v>0.33333333333333331</v>
      </c>
      <c r="O26" s="22">
        <f t="shared" ref="O26" si="43">+F26-M26</f>
        <v>-0.79166666666666663</v>
      </c>
      <c r="P26" s="22">
        <f t="shared" ref="P26" si="44">+F26-E26</f>
        <v>0</v>
      </c>
      <c r="Q26" s="22">
        <v>0.33333333333333331</v>
      </c>
      <c r="R26" s="22">
        <f t="shared" ref="R26" si="45">IF(P26-Q26&gt;0,(P26-Q26),0)</f>
        <v>0</v>
      </c>
      <c r="S26" s="22"/>
      <c r="T26" s="23"/>
    </row>
    <row r="27" spans="1:21" ht="13.5" customHeight="1" x14ac:dyDescent="0.25">
      <c r="A27" s="14" t="s">
        <v>20</v>
      </c>
      <c r="B27" s="15">
        <v>46196</v>
      </c>
      <c r="C27" s="16">
        <v>0.52083333333333337</v>
      </c>
      <c r="D27" s="16">
        <v>0.85416666666666663</v>
      </c>
      <c r="E27" s="17"/>
      <c r="F27" s="18"/>
      <c r="G27" s="19">
        <f t="shared" ref="G27:G33" si="46">IF(C27-E27&gt;0,+C27-E27,0)</f>
        <v>0.52083333333333337</v>
      </c>
      <c r="H27" s="19">
        <f t="shared" ref="H27:H33" si="47">IF(F27-D27&gt;0,+F27-D27,0)</f>
        <v>0</v>
      </c>
      <c r="I27" s="19">
        <f t="shared" ref="I27:I33" si="48">SUM(G27:H27)</f>
        <v>0.52083333333333337</v>
      </c>
      <c r="J27" s="19">
        <f t="shared" ref="J27:J33" si="49">IF(C27-E27&lt;0,+(+C27-E27)*-1,0)</f>
        <v>0</v>
      </c>
      <c r="K27" s="19">
        <f t="shared" ref="K27:K33" si="50">IF(F27-D27&lt;0,+(+F27-D27)*-1,0)</f>
        <v>0.85416666666666663</v>
      </c>
      <c r="L27" s="20">
        <f t="shared" ref="L27:L33" si="51">+J27+K27</f>
        <v>0.85416666666666663</v>
      </c>
      <c r="M27" s="21">
        <v>0.79166666666666663</v>
      </c>
      <c r="N27" s="21">
        <v>0.33333333333333331</v>
      </c>
      <c r="O27" s="22">
        <f t="shared" ref="O27:O30" si="52">+F27-M27</f>
        <v>-0.79166666666666663</v>
      </c>
      <c r="P27" s="22">
        <f t="shared" ref="P27:P33" si="53">+F27-E27</f>
        <v>0</v>
      </c>
      <c r="Q27" s="22">
        <v>0.33333333333333331</v>
      </c>
      <c r="R27" s="22">
        <f t="shared" ref="R27:R30" si="54">IF(P27-Q27&gt;0,(P27-Q27),0)</f>
        <v>0</v>
      </c>
      <c r="S27" s="22"/>
      <c r="T27" s="23"/>
    </row>
    <row r="28" spans="1:21" ht="13.5" customHeight="1" x14ac:dyDescent="0.25">
      <c r="A28" s="14" t="s">
        <v>20</v>
      </c>
      <c r="B28" s="15">
        <v>46197</v>
      </c>
      <c r="C28" s="16">
        <v>0.52083333333333337</v>
      </c>
      <c r="D28" s="16">
        <v>0.85416666666666663</v>
      </c>
      <c r="E28" s="17"/>
      <c r="F28" s="18"/>
      <c r="G28" s="19">
        <f t="shared" si="46"/>
        <v>0.52083333333333337</v>
      </c>
      <c r="H28" s="19">
        <f t="shared" si="47"/>
        <v>0</v>
      </c>
      <c r="I28" s="19">
        <f t="shared" si="48"/>
        <v>0.52083333333333337</v>
      </c>
      <c r="J28" s="19">
        <f t="shared" si="49"/>
        <v>0</v>
      </c>
      <c r="K28" s="19">
        <f t="shared" si="50"/>
        <v>0.85416666666666663</v>
      </c>
      <c r="L28" s="20">
        <f t="shared" si="51"/>
        <v>0.85416666666666663</v>
      </c>
      <c r="M28" s="21">
        <v>0.79166666666666663</v>
      </c>
      <c r="N28" s="21">
        <v>0.33333333333333331</v>
      </c>
      <c r="O28" s="22">
        <f t="shared" si="52"/>
        <v>-0.79166666666666663</v>
      </c>
      <c r="P28" s="22">
        <f t="shared" si="53"/>
        <v>0</v>
      </c>
      <c r="Q28" s="22">
        <v>0.33333333333333331</v>
      </c>
      <c r="R28" s="22">
        <f t="shared" si="54"/>
        <v>0</v>
      </c>
      <c r="S28" s="22"/>
      <c r="T28" s="23"/>
    </row>
    <row r="29" spans="1:21" ht="13.5" customHeight="1" x14ac:dyDescent="0.25">
      <c r="A29" s="14" t="s">
        <v>20</v>
      </c>
      <c r="B29" s="15">
        <v>46198</v>
      </c>
      <c r="C29" s="16">
        <v>0.52083333333333337</v>
      </c>
      <c r="D29" s="16">
        <v>0.85416666666666663</v>
      </c>
      <c r="E29" s="17"/>
      <c r="F29" s="18"/>
      <c r="G29" s="19">
        <f t="shared" si="46"/>
        <v>0.52083333333333337</v>
      </c>
      <c r="H29" s="19">
        <f t="shared" si="47"/>
        <v>0</v>
      </c>
      <c r="I29" s="19">
        <f t="shared" si="48"/>
        <v>0.52083333333333337</v>
      </c>
      <c r="J29" s="19">
        <f t="shared" si="49"/>
        <v>0</v>
      </c>
      <c r="K29" s="19">
        <f t="shared" si="50"/>
        <v>0.85416666666666663</v>
      </c>
      <c r="L29" s="20">
        <f t="shared" si="51"/>
        <v>0.85416666666666663</v>
      </c>
      <c r="M29" s="21">
        <v>0.79166666666666663</v>
      </c>
      <c r="N29" s="21">
        <v>0.33333333333333331</v>
      </c>
      <c r="O29" s="22">
        <f t="shared" si="52"/>
        <v>-0.79166666666666663</v>
      </c>
      <c r="P29" s="22">
        <f t="shared" si="53"/>
        <v>0</v>
      </c>
      <c r="Q29" s="22">
        <v>0.33333333333333331</v>
      </c>
      <c r="R29" s="22">
        <f t="shared" si="54"/>
        <v>0</v>
      </c>
      <c r="S29" s="22"/>
      <c r="T29" s="23"/>
    </row>
    <row r="30" spans="1:21" ht="13.5" customHeight="1" x14ac:dyDescent="0.25">
      <c r="A30" s="14" t="s">
        <v>20</v>
      </c>
      <c r="B30" s="15">
        <v>46199</v>
      </c>
      <c r="C30" s="16">
        <v>0.52083333333333337</v>
      </c>
      <c r="D30" s="16">
        <v>0.85416666666666663</v>
      </c>
      <c r="E30" s="17"/>
      <c r="F30" s="18"/>
      <c r="G30" s="19">
        <f t="shared" si="46"/>
        <v>0.52083333333333337</v>
      </c>
      <c r="H30" s="19">
        <f t="shared" si="47"/>
        <v>0</v>
      </c>
      <c r="I30" s="19">
        <f t="shared" si="48"/>
        <v>0.52083333333333337</v>
      </c>
      <c r="J30" s="19">
        <f t="shared" si="49"/>
        <v>0</v>
      </c>
      <c r="K30" s="19">
        <f t="shared" si="50"/>
        <v>0.85416666666666663</v>
      </c>
      <c r="L30" s="20">
        <f t="shared" si="51"/>
        <v>0.85416666666666663</v>
      </c>
      <c r="M30" s="21">
        <v>0.79166666666666663</v>
      </c>
      <c r="N30" s="21">
        <v>0.33333333333333331</v>
      </c>
      <c r="O30" s="22">
        <f t="shared" si="52"/>
        <v>-0.79166666666666663</v>
      </c>
      <c r="P30" s="22">
        <f t="shared" si="53"/>
        <v>0</v>
      </c>
      <c r="Q30" s="22">
        <v>0.33333333333333331</v>
      </c>
      <c r="R30" s="22">
        <f t="shared" si="54"/>
        <v>0</v>
      </c>
      <c r="S30" s="22"/>
      <c r="T30" s="23"/>
    </row>
    <row r="31" spans="1:21" ht="13.5" customHeight="1" x14ac:dyDescent="0.25">
      <c r="A31" s="24" t="s">
        <v>20</v>
      </c>
      <c r="B31" s="25">
        <v>46200</v>
      </c>
      <c r="C31" s="26">
        <v>0.5625</v>
      </c>
      <c r="D31" s="26">
        <v>0.85416666666666663</v>
      </c>
      <c r="E31" s="27"/>
      <c r="F31" s="27"/>
      <c r="G31" s="28">
        <f t="shared" si="46"/>
        <v>0.5625</v>
      </c>
      <c r="H31" s="28">
        <f t="shared" si="47"/>
        <v>0</v>
      </c>
      <c r="I31" s="28">
        <f t="shared" si="48"/>
        <v>0.5625</v>
      </c>
      <c r="J31" s="28">
        <f t="shared" si="49"/>
        <v>0</v>
      </c>
      <c r="K31" s="28">
        <f t="shared" si="50"/>
        <v>0.85416666666666663</v>
      </c>
      <c r="L31" s="29">
        <f t="shared" si="51"/>
        <v>0.85416666666666663</v>
      </c>
      <c r="M31" s="30"/>
      <c r="N31" s="30"/>
      <c r="O31" s="31"/>
      <c r="P31" s="31">
        <f t="shared" si="53"/>
        <v>0</v>
      </c>
      <c r="Q31" s="31"/>
      <c r="R31" s="31"/>
      <c r="S31" s="31">
        <f t="shared" ref="S31" si="55">+F31-E31</f>
        <v>0</v>
      </c>
      <c r="T31" s="23"/>
    </row>
    <row r="32" spans="1:21" ht="13.5" customHeight="1" x14ac:dyDescent="0.25">
      <c r="A32" s="14" t="s">
        <v>20</v>
      </c>
      <c r="B32" s="15">
        <v>46202</v>
      </c>
      <c r="C32" s="16">
        <v>0.52083333333333337</v>
      </c>
      <c r="D32" s="16">
        <v>0.85416666666666663</v>
      </c>
      <c r="E32" s="17"/>
      <c r="F32" s="18"/>
      <c r="G32" s="19">
        <f t="shared" ref="G32" si="56">IF(C32-E32&gt;0,+C32-E32,0)</f>
        <v>0.52083333333333337</v>
      </c>
      <c r="H32" s="19">
        <f t="shared" ref="H32" si="57">IF(F32-D32&gt;0,+F32-D32,0)</f>
        <v>0</v>
      </c>
      <c r="I32" s="19">
        <f t="shared" ref="I32" si="58">SUM(G32:H32)</f>
        <v>0.52083333333333337</v>
      </c>
      <c r="J32" s="19">
        <f t="shared" ref="J32" si="59">IF(C32-E32&lt;0,+(+C32-E32)*-1,0)</f>
        <v>0</v>
      </c>
      <c r="K32" s="19">
        <f t="shared" ref="K32" si="60">IF(F32-D32&lt;0,+(+F32-D32)*-1,0)</f>
        <v>0.85416666666666663</v>
      </c>
      <c r="L32" s="20">
        <f t="shared" ref="L32" si="61">+J32+K32</f>
        <v>0.85416666666666663</v>
      </c>
      <c r="M32" s="21">
        <v>0.79166666666666663</v>
      </c>
      <c r="N32" s="21">
        <v>0.33333333333333331</v>
      </c>
      <c r="O32" s="22">
        <f t="shared" ref="O32" si="62">+F32-M32</f>
        <v>-0.79166666666666663</v>
      </c>
      <c r="P32" s="22">
        <f t="shared" ref="P32" si="63">+F32-E32</f>
        <v>0</v>
      </c>
      <c r="Q32" s="22">
        <v>0.33333333333333331</v>
      </c>
      <c r="R32" s="22">
        <f t="shared" ref="R32" si="64">IF(P32-Q32&gt;0,(P32-Q32),0)</f>
        <v>0</v>
      </c>
      <c r="S32" s="22"/>
      <c r="T32" s="23"/>
    </row>
    <row r="33" spans="1:21" ht="13.5" customHeight="1" x14ac:dyDescent="0.25">
      <c r="A33" s="14" t="s">
        <v>20</v>
      </c>
      <c r="B33" s="15">
        <v>46203</v>
      </c>
      <c r="C33" s="16">
        <v>0.52083333333333337</v>
      </c>
      <c r="D33" s="16">
        <v>0.85416666666666663</v>
      </c>
      <c r="E33" s="17"/>
      <c r="F33" s="18"/>
      <c r="G33" s="19">
        <f t="shared" si="46"/>
        <v>0.52083333333333337</v>
      </c>
      <c r="H33" s="19">
        <f t="shared" si="47"/>
        <v>0</v>
      </c>
      <c r="I33" s="19">
        <f t="shared" si="48"/>
        <v>0.52083333333333337</v>
      </c>
      <c r="J33" s="19">
        <f t="shared" si="49"/>
        <v>0</v>
      </c>
      <c r="K33" s="19">
        <f t="shared" si="50"/>
        <v>0.85416666666666663</v>
      </c>
      <c r="L33" s="20">
        <f t="shared" si="51"/>
        <v>0.85416666666666663</v>
      </c>
      <c r="M33" s="21">
        <v>0.79166666666666663</v>
      </c>
      <c r="N33" s="21">
        <v>0.33333333333333331</v>
      </c>
      <c r="O33" s="22">
        <f t="shared" ref="O33" si="65">+F33-M33</f>
        <v>-0.79166666666666663</v>
      </c>
      <c r="P33" s="22">
        <f t="shared" si="53"/>
        <v>0</v>
      </c>
      <c r="Q33" s="22">
        <v>0.33333333333333331</v>
      </c>
      <c r="R33" s="22">
        <f t="shared" ref="R33" si="66">IF(P33-Q33&gt;0,(P33-Q33),0)</f>
        <v>0</v>
      </c>
      <c r="S33" s="22"/>
      <c r="T33" s="23"/>
    </row>
    <row r="34" spans="1:21" ht="15.75" customHeight="1" x14ac:dyDescent="0.25">
      <c r="A34" s="32"/>
      <c r="B34" s="32"/>
      <c r="C34" s="32"/>
      <c r="D34" s="32"/>
      <c r="E34" s="33"/>
      <c r="F34" s="33"/>
      <c r="G34" s="32"/>
      <c r="H34" s="32"/>
      <c r="I34" s="32"/>
      <c r="J34" s="34"/>
      <c r="K34" s="32"/>
      <c r="L34" s="32"/>
      <c r="M34" s="32"/>
      <c r="N34" s="34"/>
      <c r="O34" s="34">
        <f>SUM(O8:O33)</f>
        <v>-9.6604166666666647</v>
      </c>
      <c r="P34" s="34"/>
      <c r="Q34" s="34"/>
      <c r="R34" s="34">
        <f>SUM(R8:R33)</f>
        <v>6.3888888888889217E-2</v>
      </c>
      <c r="S34" s="34">
        <f>SUM(S8:S33)</f>
        <v>0.32291666666666663</v>
      </c>
      <c r="U34" s="35"/>
    </row>
    <row r="35" spans="1:21" ht="15.75" customHeight="1" x14ac:dyDescent="0.25">
      <c r="A35" s="32"/>
      <c r="B35" s="32"/>
      <c r="C35" s="32"/>
      <c r="D35" s="32"/>
      <c r="E35" s="33"/>
      <c r="F35" s="33"/>
      <c r="G35" s="32"/>
      <c r="H35" s="32"/>
      <c r="I35" s="32"/>
      <c r="J35" s="34"/>
      <c r="K35" s="32"/>
      <c r="L35" s="32"/>
      <c r="M35" s="32"/>
      <c r="N35" s="32"/>
      <c r="O35" s="34"/>
      <c r="P35" s="34"/>
      <c r="Q35" s="34"/>
      <c r="R35" s="34"/>
      <c r="S35" s="34"/>
    </row>
    <row r="36" spans="1:21" ht="18" customHeight="1" thickBot="1" x14ac:dyDescent="0.3">
      <c r="A36" s="36"/>
      <c r="B36" s="32"/>
      <c r="C36" s="32"/>
      <c r="D36" s="32"/>
      <c r="E36" s="33"/>
      <c r="F36" s="33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4"/>
      <c r="R36" s="32"/>
      <c r="S36" s="34"/>
    </row>
    <row r="37" spans="1:21" ht="54" x14ac:dyDescent="0.25">
      <c r="A37" s="37"/>
      <c r="B37" s="32"/>
      <c r="C37" s="38"/>
      <c r="D37" s="32"/>
      <c r="E37" s="33"/>
      <c r="F37" s="33"/>
      <c r="G37" s="64" t="s">
        <v>21</v>
      </c>
      <c r="H37" s="64"/>
      <c r="I37" s="39" t="s">
        <v>22</v>
      </c>
      <c r="J37" s="39" t="s">
        <v>23</v>
      </c>
      <c r="K37" s="40" t="s">
        <v>24</v>
      </c>
      <c r="L37" s="39" t="s">
        <v>25</v>
      </c>
      <c r="M37" s="41" t="s">
        <v>26</v>
      </c>
      <c r="N37" s="42" t="s">
        <v>27</v>
      </c>
      <c r="O37" s="43" t="s">
        <v>28</v>
      </c>
      <c r="P37" s="44" t="s">
        <v>29</v>
      </c>
      <c r="Q37" s="32"/>
      <c r="R37" s="32"/>
      <c r="S37" s="32"/>
    </row>
    <row r="38" spans="1:21" ht="13.5" x14ac:dyDescent="0.25">
      <c r="A38" s="45"/>
      <c r="B38" s="32"/>
      <c r="C38" s="32"/>
      <c r="D38" s="32"/>
      <c r="E38" s="33"/>
      <c r="F38" s="33"/>
      <c r="G38" s="46" t="s">
        <v>30</v>
      </c>
      <c r="H38" s="46"/>
      <c r="I38" s="47">
        <v>32</v>
      </c>
      <c r="J38" s="47">
        <v>0</v>
      </c>
      <c r="K38" s="58">
        <v>2.0083000000000002</v>
      </c>
      <c r="L38" s="48">
        <v>0.25</v>
      </c>
      <c r="M38" s="32">
        <v>0.43</v>
      </c>
      <c r="N38" s="49">
        <f>+I38*M38</f>
        <v>13.76</v>
      </c>
      <c r="O38" s="47">
        <f>(+M38/60)*J38</f>
        <v>0</v>
      </c>
      <c r="P38" s="50">
        <f t="shared" ref="P38:P40" si="67">+N38+O38</f>
        <v>13.76</v>
      </c>
      <c r="Q38" s="32"/>
      <c r="R38" s="32"/>
      <c r="S38" s="32"/>
    </row>
    <row r="39" spans="1:21" ht="13.5" x14ac:dyDescent="0.25">
      <c r="A39" s="45"/>
      <c r="B39" s="32"/>
      <c r="C39" s="32"/>
      <c r="D39" s="32"/>
      <c r="E39" s="33"/>
      <c r="F39" s="33"/>
      <c r="G39" s="46" t="s">
        <v>31</v>
      </c>
      <c r="H39" s="46"/>
      <c r="I39" s="47">
        <v>7</v>
      </c>
      <c r="J39" s="47">
        <v>17</v>
      </c>
      <c r="K39" s="58">
        <v>2.0083000000000002</v>
      </c>
      <c r="L39" s="48">
        <v>1.5</v>
      </c>
      <c r="M39" s="51">
        <f t="shared" ref="M39:M40" si="68">+K39*L39</f>
        <v>3.0124500000000003</v>
      </c>
      <c r="N39" s="49">
        <f t="shared" ref="N39:N40" si="69">+I39*M39</f>
        <v>21.087150000000001</v>
      </c>
      <c r="O39" s="47">
        <f t="shared" ref="O39:O40" si="70">(+M39/60)*J39</f>
        <v>0.85352749999999999</v>
      </c>
      <c r="P39" s="50">
        <v>27.98</v>
      </c>
      <c r="Q39" s="32"/>
      <c r="R39" s="32"/>
      <c r="S39" s="32"/>
    </row>
    <row r="40" spans="1:21" ht="13.5" x14ac:dyDescent="0.25">
      <c r="A40" s="32"/>
      <c r="B40" s="32"/>
      <c r="C40" s="32"/>
      <c r="D40" s="32"/>
      <c r="E40" s="33"/>
      <c r="F40" s="33"/>
      <c r="G40" s="46" t="s">
        <v>32</v>
      </c>
      <c r="H40" s="46"/>
      <c r="I40" s="47">
        <v>63</v>
      </c>
      <c r="J40" s="47">
        <v>21</v>
      </c>
      <c r="K40" s="58">
        <v>2.0083000000000002</v>
      </c>
      <c r="L40" s="48">
        <v>2</v>
      </c>
      <c r="M40" s="51">
        <f t="shared" si="68"/>
        <v>4.0166000000000004</v>
      </c>
      <c r="N40" s="49">
        <f t="shared" si="69"/>
        <v>253.04580000000001</v>
      </c>
      <c r="O40" s="47">
        <f t="shared" si="70"/>
        <v>1.4058100000000002</v>
      </c>
      <c r="P40" s="50">
        <f t="shared" si="67"/>
        <v>254.45161000000002</v>
      </c>
      <c r="Q40" s="32"/>
      <c r="R40" s="32"/>
      <c r="S40" s="32"/>
    </row>
    <row r="41" spans="1:21" ht="20.25" customHeight="1" thickBot="1" x14ac:dyDescent="0.3">
      <c r="A41" s="32"/>
      <c r="B41" s="32"/>
      <c r="C41" s="32"/>
      <c r="D41" s="32"/>
      <c r="E41" s="33"/>
      <c r="F41" s="33"/>
      <c r="G41" s="32"/>
      <c r="H41" s="32"/>
      <c r="I41" s="32"/>
      <c r="J41" s="32"/>
      <c r="K41" s="32"/>
      <c r="L41" s="46" t="s">
        <v>33</v>
      </c>
      <c r="M41" s="52"/>
      <c r="N41" s="53">
        <f>SUM(N38:N40)</f>
        <v>287.89295000000004</v>
      </c>
      <c r="O41" s="53">
        <f>SUM(O38:O40)</f>
        <v>2.2593375</v>
      </c>
      <c r="P41" s="53">
        <f>SUM(P38:P40)</f>
        <v>296.19161000000003</v>
      </c>
      <c r="Q41" s="32"/>
      <c r="R41" s="32"/>
      <c r="S41" s="32"/>
    </row>
    <row r="42" spans="1:21" ht="13.5" x14ac:dyDescent="0.25">
      <c r="A42" s="32"/>
      <c r="B42" s="32"/>
      <c r="C42" s="32"/>
      <c r="D42" s="32"/>
      <c r="E42" s="33"/>
      <c r="F42" s="54"/>
      <c r="G42" s="32"/>
      <c r="H42" s="32"/>
      <c r="I42" s="32"/>
      <c r="J42" s="32"/>
      <c r="K42" s="32"/>
      <c r="L42" s="32"/>
      <c r="M42" s="32"/>
      <c r="N42" s="32"/>
      <c r="O42" s="32"/>
      <c r="P42" s="55"/>
      <c r="Q42" s="32"/>
      <c r="R42" s="32"/>
      <c r="S42" s="32"/>
    </row>
  </sheetData>
  <mergeCells count="10">
    <mergeCell ref="G37:H37"/>
    <mergeCell ref="Q2:Q3"/>
    <mergeCell ref="A6:A7"/>
    <mergeCell ref="B6:B7"/>
    <mergeCell ref="C6:C7"/>
    <mergeCell ref="D6:D7"/>
    <mergeCell ref="E6:E7"/>
    <mergeCell ref="F6:F7"/>
    <mergeCell ref="G6:L6"/>
    <mergeCell ref="M6:S6"/>
  </mergeCells>
  <pageMargins left="0.70866141732283472" right="0.70866141732283472" top="0.74803149606299213" bottom="0.74803149606299213" header="0.31496062992125984" footer="0.31496062992125984"/>
  <pageSetup scale="61" orientation="landscape" horizontalDpi="4294967293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JUNIO</vt:lpstr>
      <vt:lpstr>CALCULO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 CASERO</cp:lastModifiedBy>
  <cp:lastPrinted>2026-06-01T15:12:37Z</cp:lastPrinted>
  <dcterms:created xsi:type="dcterms:W3CDTF">2014-07-31T18:45:34Z</dcterms:created>
  <dcterms:modified xsi:type="dcterms:W3CDTF">2026-06-12T17:05:08Z</dcterms:modified>
</cp:coreProperties>
</file>